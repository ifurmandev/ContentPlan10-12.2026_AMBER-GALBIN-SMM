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ендар" sheetId="1" state="visible" r:id="rId1"/>
    <sheet name="Сценарії" sheetId="2" state="visible" r:id="rId2"/>
    <sheet name="Рубрики" sheetId="3" state="visible" r:id="rId3"/>
    <sheet name="Свята" sheetId="4" state="visible" r:id="rId4"/>
    <sheet name="Референси" sheetId="5" state="visible" r:id="rId5"/>
    <sheet name="Замір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yyyy-mm-dd"/>
    <numFmt numFmtId="166" formatCode="dd.mm"/>
    <numFmt numFmtId="167" formatCode="# ##0"/>
    <numFmt numFmtId="168" formatCode="dd.mm.yyyy"/>
    <numFmt numFmtId="169" formatCode="0.0%"/>
  </numFmts>
  <fonts count="26">
    <font>
      <name val="Calibri"/>
      <family val="2"/>
      <color theme="1"/>
      <sz val="11"/>
      <scheme val="minor"/>
    </font>
    <font>
      <name val="Montserrat"/>
      <b val="1"/>
      <color rgb="00555555"/>
      <sz val="54"/>
    </font>
    <font>
      <name val="Montserrat"/>
      <b val="1"/>
      <color rgb="00BDBDBD"/>
      <sz val="44"/>
    </font>
    <font>
      <name val="Roboto"/>
      <color rgb="008C8C8C"/>
      <sz val="10"/>
    </font>
    <font>
      <name val="Montserrat"/>
      <color rgb="006B6B6B"/>
      <sz val="8"/>
    </font>
    <font>
      <name val="Montserrat"/>
      <color rgb="005A5A5A"/>
      <sz val="20"/>
    </font>
    <font>
      <name val="Roboto"/>
      <b val="1"/>
      <color rgb="00B5452B"/>
      <sz val="8"/>
    </font>
    <font>
      <name val="Roboto"/>
      <b val="1"/>
      <color rgb="004A4A4A"/>
      <sz val="8"/>
    </font>
    <font>
      <name val="Roboto"/>
      <i val="1"/>
      <color rgb="008C8C8C"/>
      <sz val="7"/>
    </font>
    <font>
      <name val="Roboto"/>
      <b val="1"/>
      <color rgb="007A5200"/>
      <sz val="8"/>
    </font>
    <font>
      <name val="Roboto"/>
      <b val="1"/>
      <color rgb="001F4E79"/>
      <sz val="8"/>
    </font>
    <font>
      <name val="Roboto"/>
      <b val="1"/>
      <color rgb="002F5A2A"/>
      <sz val="8"/>
    </font>
    <font>
      <name val="Roboto"/>
      <b val="1"/>
      <color rgb="008A3B12"/>
      <sz val="8"/>
    </font>
    <font>
      <name val="Roboto"/>
      <b val="1"/>
      <color rgb="008C8C8C"/>
      <sz val="8"/>
    </font>
    <font>
      <name val="Roboto"/>
      <i val="1"/>
      <color rgb="008C8C8C"/>
      <sz val="8"/>
    </font>
    <font>
      <name val="Montserrat"/>
      <b val="1"/>
      <color rgb="00555555"/>
      <sz val="22"/>
    </font>
    <font>
      <name val="Roboto"/>
      <color rgb="008C8C8C"/>
      <sz val="9"/>
    </font>
    <font>
      <name val="Roboto"/>
      <b val="1"/>
      <color rgb="00FFFFFF"/>
      <sz val="9"/>
    </font>
    <font>
      <name val="Roboto"/>
      <color rgb="004A4A4A"/>
      <sz val="9"/>
    </font>
    <font>
      <name val="Roboto"/>
      <b val="1"/>
      <color rgb="001F4E79"/>
      <sz val="9"/>
    </font>
    <font>
      <name val="Roboto"/>
      <b val="1"/>
      <color rgb="004A4A4A"/>
      <sz val="9"/>
    </font>
    <font>
      <name val="Roboto"/>
      <b val="1"/>
      <color rgb="007A5200"/>
      <sz val="9"/>
    </font>
    <font>
      <name val="Roboto"/>
      <b val="1"/>
      <color rgb="002F5A2A"/>
      <sz val="9"/>
    </font>
    <font>
      <name val="Roboto"/>
      <b val="1"/>
      <color rgb="008A3B12"/>
      <sz val="9"/>
    </font>
    <font>
      <name val="Roboto"/>
      <b val="1"/>
      <color rgb="00555555"/>
      <sz val="12"/>
    </font>
    <font>
      <name val="Roboto"/>
      <b val="1"/>
      <color rgb="00B5452B"/>
      <sz val="9"/>
    </font>
  </fonts>
  <fills count="8">
    <fill>
      <patternFill/>
    </fill>
    <fill>
      <patternFill patternType="gray125"/>
    </fill>
    <fill>
      <patternFill patternType="solid">
        <fgColor rgb="00FFF1CC"/>
        <bgColor rgb="00FFF1CC"/>
      </patternFill>
    </fill>
    <fill>
      <patternFill patternType="solid">
        <fgColor rgb="00DDEBF7"/>
        <bgColor rgb="00DDEBF7"/>
      </patternFill>
    </fill>
    <fill>
      <patternFill patternType="solid">
        <fgColor rgb="00E3EFE0"/>
        <bgColor rgb="00E3EFE0"/>
      </patternFill>
    </fill>
    <fill>
      <patternFill patternType="solid">
        <fgColor rgb="00FBE0CF"/>
        <bgColor rgb="00FBE0CF"/>
      </patternFill>
    </fill>
    <fill>
      <patternFill patternType="solid">
        <fgColor rgb="005A5A5A"/>
        <bgColor rgb="005A5A5A"/>
      </patternFill>
    </fill>
    <fill>
      <patternFill patternType="solid">
        <fgColor rgb="00F3F3F3"/>
        <bgColor rgb="00F3F3F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9" fillId="2" borderId="4" applyAlignment="1" pivotButton="0" quotePrefix="0" xfId="0">
      <alignment horizontal="left" vertical="top" wrapText="1"/>
    </xf>
    <xf numFmtId="0" fontId="10" fillId="3" borderId="4" applyAlignment="1" pivotButton="0" quotePrefix="0" xfId="0">
      <alignment horizontal="left" vertical="top" wrapText="1"/>
    </xf>
    <xf numFmtId="0" fontId="11" fillId="4" borderId="4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left" vertical="top" wrapText="1"/>
    </xf>
    <xf numFmtId="0" fontId="13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top" wrapText="1"/>
    </xf>
    <xf numFmtId="0" fontId="17" fillId="6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top" wrapText="1"/>
    </xf>
    <xf numFmtId="166" fontId="18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left" vertical="top" wrapText="1"/>
    </xf>
    <xf numFmtId="167" fontId="18" fillId="0" borderId="1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left" vertical="top" wrapText="1"/>
    </xf>
    <xf numFmtId="0" fontId="19" fillId="3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24" fillId="0" borderId="0" pivotButton="0" quotePrefix="0" xfId="0"/>
    <xf numFmtId="0" fontId="16" fillId="0" borderId="0" pivotButton="0" quotePrefix="0" xfId="0"/>
    <xf numFmtId="0" fontId="18" fillId="0" borderId="0" applyAlignment="1" pivotButton="0" quotePrefix="0" xfId="0">
      <alignment vertical="top" wrapText="1"/>
    </xf>
    <xf numFmtId="168" fontId="18" fillId="0" borderId="1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169" fontId="18" fillId="0" borderId="1" applyAlignment="1" pivotButton="0" quotePrefix="0" xfId="0">
      <alignment horizontal="left" vertical="top" wrapText="1"/>
    </xf>
    <xf numFmtId="10" fontId="18" fillId="0" borderId="1" applyAlignment="1" pivotButton="0" quotePrefix="0" xfId="0">
      <alignment horizontal="left" vertical="top" wrapText="1"/>
    </xf>
    <xf numFmtId="166" fontId="18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169" fontId="18" fillId="7" borderId="1" applyAlignment="1" pivotButton="0" quotePrefix="0" xfId="0">
      <alignment horizontal="left" vertical="top" wrapText="1"/>
    </xf>
    <xf numFmtId="10" fontId="18" fillId="7" borderId="1" applyAlignment="1" pivotButton="0" quotePrefix="0" xfId="0">
      <alignment horizontal="left" vertical="top" wrapText="1"/>
    </xf>
    <xf numFmtId="167" fontId="18" fillId="7" borderId="1" applyAlignment="1" pivotButton="0" quotePrefix="0" xfId="0">
      <alignment horizontal="left" vertical="top" wrapText="1"/>
    </xf>
    <xf numFmtId="0" fontId="17" fillId="6" borderId="1" pivotButton="0" quotePrefix="0" xfId="0"/>
    <xf numFmtId="0" fontId="18" fillId="7" borderId="1" pivotButton="0" quotePrefix="0" xfId="0"/>
    <xf numFmtId="167" fontId="18" fillId="7" borderId="1" pivotButton="0" quotePrefix="0" xfId="0"/>
    <xf numFmtId="169" fontId="18" fillId="7" borderId="1" pivotButton="0" quotePrefix="0" xfId="0"/>
    <xf numFmtId="10" fontId="18" fillId="7" borderId="1" pivotButton="0" quotePrefix="0" xfId="0"/>
  </cellXfs>
  <cellStyles count="1">
    <cellStyle name="Normal" xfId="0" builtinId="0" hidden="0"/>
  </cellStyles>
  <dxfs count="5">
    <dxf>
      <font>
        <color rgb="007A5200"/>
      </font>
      <fill>
        <patternFill patternType="solid">
          <fgColor rgb="00FFF1CC"/>
          <bgColor rgb="00FFF1CC"/>
        </patternFill>
      </fill>
    </dxf>
    <dxf>
      <font>
        <color rgb="002F5A2A"/>
      </font>
      <fill>
        <patternFill patternType="solid">
          <fgColor rgb="00E3EFE0"/>
          <bgColor rgb="00E3EFE0"/>
        </patternFill>
      </fill>
    </dxf>
    <dxf>
      <font>
        <color rgb="001F4E79"/>
      </font>
      <fill>
        <patternFill patternType="solid">
          <fgColor rgb="00DDEBF7"/>
          <bgColor rgb="00DDEBF7"/>
        </patternFill>
      </fill>
    </dxf>
    <dxf>
      <font>
        <color rgb="008A3B12"/>
      </font>
      <fill>
        <patternFill patternType="solid">
          <fgColor rgb="00FBE0CF"/>
          <bgColor rgb="00FBE0CF"/>
        </patternFill>
      </fill>
    </dxf>
    <dxf>
      <font>
        <color rgb="00274E13"/>
      </font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6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" customWidth="1" min="9" max="9"/>
  </cols>
  <sheetData>
    <row r="1" ht="10" customHeight="1"/>
    <row r="2" ht="78" customHeight="1">
      <c r="B2" s="1" t="inlineStr">
        <is>
          <t>Жовтень</t>
        </is>
      </c>
      <c r="F2" s="2" t="inlineStr">
        <is>
          <t>2026</t>
        </is>
      </c>
    </row>
    <row r="3" ht="24" customHeight="1">
      <c r="B3" s="3" t="inlineStr">
        <is>
          <t>TikTok · Amber Galbin · 4 відео на тиждень · Пн 09:00 · Ср 21:00 · Пт 21:00 · Нд 11:00</t>
        </is>
      </c>
    </row>
    <row r="4" ht="8" customHeight="1"/>
    <row r="5" ht="28" customHeight="1">
      <c r="B5" s="4" t="inlineStr">
        <is>
          <t>ПОНЕДІЛОК</t>
        </is>
      </c>
      <c r="C5" s="4" t="inlineStr">
        <is>
          <t>ВІВТОРОК</t>
        </is>
      </c>
      <c r="D5" s="4" t="inlineStr">
        <is>
          <t>СЕРЕДА</t>
        </is>
      </c>
      <c r="E5" s="4" t="inlineStr">
        <is>
          <t>ЧЕТВЕР</t>
        </is>
      </c>
      <c r="F5" s="4" t="inlineStr">
        <is>
          <t>П’ЯТНИЦЯ</t>
        </is>
      </c>
      <c r="G5" s="4" t="inlineStr">
        <is>
          <t>СУБОТА</t>
        </is>
      </c>
      <c r="H5" s="4" t="inlineStr">
        <is>
          <t>НЕДІЛЯ</t>
        </is>
      </c>
    </row>
    <row r="6" ht="34" customHeight="1">
      <c r="B6" s="5" t="n"/>
      <c r="C6" s="5" t="n"/>
      <c r="D6" s="5" t="n"/>
      <c r="E6" s="5" t="n">
        <v>46296</v>
      </c>
      <c r="F6" s="5" t="n">
        <v>46297</v>
      </c>
      <c r="G6" s="5" t="n">
        <v>46298</v>
      </c>
      <c r="H6" s="5" t="n">
        <v>46299</v>
      </c>
    </row>
    <row r="7" ht="22" customHeight="1">
      <c r="B7" s="6" t="n"/>
      <c r="C7" s="6" t="n"/>
      <c r="D7" s="6" t="n"/>
      <c r="E7" s="6">
        <f>IFERROR(VLOOKUP(E6,'Свята'!$A$5:$D$60,4,FALSE),"")</f>
        <v/>
      </c>
      <c r="F7" s="6">
        <f>IFERROR(VLOOKUP(F6,'Свята'!$A$5:$D$60,4,FALSE),"")</f>
        <v/>
      </c>
      <c r="G7" s="6">
        <f>IFERROR(VLOOKUP(G6,'Свята'!$A$5:$D$60,4,FALSE),"")</f>
        <v/>
      </c>
      <c r="H7" s="6">
        <f>IFERROR(VLOOKUP(H6,'Свята'!$A$5:$D$60,4,FALSE),"")</f>
        <v/>
      </c>
    </row>
    <row r="8" ht="72" customHeight="1">
      <c r="B8" s="7" t="n"/>
      <c r="C8" s="7" t="n"/>
      <c r="D8" s="7" t="n"/>
      <c r="E8" s="8">
        <f>IFERROR(VLOOKUP(E6,'Свята'!$A$5:$E$60,5,FALSE),"")</f>
        <v/>
      </c>
      <c r="F8" s="8">
        <f>IFERROR(VLOOKUP(F6,'Свята'!$A$5:$E$60,5,FALSE),"")</f>
        <v/>
      </c>
      <c r="G8" s="8">
        <f>IFERROR(VLOOKUP(G6,'Свята'!$A$5:$E$60,5,FALSE),"")</f>
        <v/>
      </c>
      <c r="H8" s="8">
        <f>IFERROR(VLOOKUP(H6,'Свята'!$A$5:$E$60,5,FALSE),"")</f>
        <v/>
      </c>
    </row>
    <row r="9" ht="34" customHeight="1">
      <c r="B9" s="5" t="n">
        <v>46300</v>
      </c>
      <c r="C9" s="5" t="n">
        <v>46301</v>
      </c>
      <c r="D9" s="5" t="n">
        <v>46302</v>
      </c>
      <c r="E9" s="5" t="n">
        <v>46303</v>
      </c>
      <c r="F9" s="5" t="n">
        <v>46304</v>
      </c>
      <c r="G9" s="5" t="n">
        <v>46305</v>
      </c>
      <c r="H9" s="5" t="n">
        <v>46306</v>
      </c>
    </row>
    <row r="10" ht="22" customHeight="1">
      <c r="B10" s="6">
        <f>IFERROR(VLOOKUP(B9,'Свята'!$A$5:$D$60,4,FALSE),"")</f>
        <v/>
      </c>
      <c r="C10" s="6">
        <f>IFERROR(VLOOKUP(C9,'Свята'!$A$5:$D$60,4,FALSE),"")</f>
        <v/>
      </c>
      <c r="D10" s="6">
        <f>IFERROR(VLOOKUP(D9,'Свята'!$A$5:$D$60,4,FALSE),"")</f>
        <v/>
      </c>
      <c r="E10" s="6">
        <f>IFERROR(VLOOKUP(E9,'Свята'!$A$5:$D$60,4,FALSE),"")</f>
        <v/>
      </c>
      <c r="F10" s="6">
        <f>IFERROR(VLOOKUP(F9,'Свята'!$A$5:$D$60,4,FALSE),"")</f>
        <v/>
      </c>
      <c r="G10" s="6">
        <f>IFERROR(VLOOKUP(G9,'Свята'!$A$5:$D$60,4,FALSE),"")</f>
        <v/>
      </c>
      <c r="H10" s="6">
        <f>IFERROR(VLOOKUP(H9,'Свята'!$A$5:$D$60,4,FALSE),"")</f>
        <v/>
      </c>
    </row>
    <row r="11" ht="72" customHeight="1">
      <c r="B11" s="9" t="inlineStr">
        <is>
          <t>🪨 Камінь у руках  ·  09:00
Скільки коштує цей камінь?  →</t>
        </is>
      </c>
      <c r="C11" s="8">
        <f>IFERROR(VLOOKUP(C9,'Свята'!$A$5:$E$60,5,FALSE),"")</f>
        <v/>
      </c>
      <c r="D11" s="10" t="inlineStr">
        <is>
          <t>🎁 Річ у ділі  ·  21:00
Завтра День юриста: 3 подарунки для кабінету  →</t>
        </is>
      </c>
      <c r="E11" s="8">
        <f>IFERROR(VLOOKUP(E9,'Свята'!$A$5:$E$60,5,FALSE),"")</f>
        <v/>
      </c>
      <c r="F11" s="11" t="inlineStr">
        <is>
          <t>🔨 Як це зроблено  ·  21:00
Від сирцю до кулона за 15 секунд  →</t>
        </is>
      </c>
      <c r="G11" s="8">
        <f>IFERROR(VLOOKUP(G9,'Свята'!$A$5:$E$60,5,FALSE),"")</f>
        <v/>
      </c>
      <c r="H11" s="12" t="inlineStr">
        <is>
          <t>🔥 Вау-масштаб  ·  11:00
Картина з бурштину, ч.2  →</t>
        </is>
      </c>
    </row>
    <row r="12" ht="34" customHeight="1">
      <c r="B12" s="5" t="n">
        <v>46307</v>
      </c>
      <c r="C12" s="5" t="n">
        <v>46308</v>
      </c>
      <c r="D12" s="5" t="n">
        <v>46309</v>
      </c>
      <c r="E12" s="5" t="n">
        <v>46310</v>
      </c>
      <c r="F12" s="5" t="n">
        <v>46311</v>
      </c>
      <c r="G12" s="5" t="n">
        <v>46312</v>
      </c>
      <c r="H12" s="5" t="n">
        <v>46313</v>
      </c>
    </row>
    <row r="13" ht="22" customHeight="1">
      <c r="B13" s="6">
        <f>IFERROR(VLOOKUP(B12,'Свята'!$A$5:$D$60,4,FALSE),"")</f>
        <v/>
      </c>
      <c r="C13" s="6">
        <f>IFERROR(VLOOKUP(C12,'Свята'!$A$5:$D$60,4,FALSE),"")</f>
        <v/>
      </c>
      <c r="D13" s="6">
        <f>IFERROR(VLOOKUP(D12,'Свята'!$A$5:$D$60,4,FALSE),"")</f>
        <v/>
      </c>
      <c r="E13" s="6">
        <f>IFERROR(VLOOKUP(E12,'Свята'!$A$5:$D$60,4,FALSE),"")</f>
        <v/>
      </c>
      <c r="F13" s="6">
        <f>IFERROR(VLOOKUP(F12,'Свята'!$A$5:$D$60,4,FALSE),"")</f>
        <v/>
      </c>
      <c r="G13" s="6">
        <f>IFERROR(VLOOKUP(G12,'Свята'!$A$5:$D$60,4,FALSE),"")</f>
        <v/>
      </c>
      <c r="H13" s="6">
        <f>IFERROR(VLOOKUP(H12,'Свята'!$A$5:$D$60,4,FALSE),"")</f>
        <v/>
      </c>
    </row>
    <row r="14" ht="72" customHeight="1">
      <c r="B14" s="9" t="inlineStr">
        <is>
          <t>🪨 Камінь у руках  ·  09:00
ASMR: звук бурштину  →</t>
        </is>
      </c>
      <c r="C14" s="8">
        <f>IFERROR(VLOOKUP(C12,'Свята'!$A$5:$E$60,5,FALSE),"")</f>
        <v/>
      </c>
      <c r="D14" s="11" t="inlineStr">
        <is>
          <t>🔨 Як це зроблено  ·  21:00
Як ми робимо статуетку військової техніки  →</t>
        </is>
      </c>
      <c r="E14" s="8">
        <f>IFERROR(VLOOKUP(E12,'Свята'!$A$5:$E$60,5,FALSE),"")</f>
        <v/>
      </c>
      <c r="F14" s="10" t="inlineStr">
        <is>
          <t>🎁 Річ у ділі  ·  21:00
Відповідаю: скільки коштує бурштин?  →</t>
        </is>
      </c>
      <c r="G14" s="8">
        <f>IFERROR(VLOOKUP(G12,'Свята'!$A$5:$E$60,5,FALSE),"")</f>
        <v/>
      </c>
      <c r="H14" s="12" t="inlineStr">
        <is>
          <t>🔥 Вау-масштаб  ·  11:00
День апостола Луки: ікона з бурштину  →</t>
        </is>
      </c>
    </row>
    <row r="15" ht="34" customHeight="1">
      <c r="B15" s="5" t="n">
        <v>46314</v>
      </c>
      <c r="C15" s="5" t="n">
        <v>46315</v>
      </c>
      <c r="D15" s="5" t="n">
        <v>46316</v>
      </c>
      <c r="E15" s="5" t="n">
        <v>46317</v>
      </c>
      <c r="F15" s="5" t="n">
        <v>46318</v>
      </c>
      <c r="G15" s="5" t="n">
        <v>46319</v>
      </c>
      <c r="H15" s="5" t="n">
        <v>46320</v>
      </c>
    </row>
    <row r="16" ht="22" customHeight="1">
      <c r="B16" s="6">
        <f>IFERROR(VLOOKUP(B15,'Свята'!$A$5:$D$60,4,FALSE),"")</f>
        <v/>
      </c>
      <c r="C16" s="6">
        <f>IFERROR(VLOOKUP(C15,'Свята'!$A$5:$D$60,4,FALSE),"")</f>
        <v/>
      </c>
      <c r="D16" s="6">
        <f>IFERROR(VLOOKUP(D15,'Свята'!$A$5:$D$60,4,FALSE),"")</f>
        <v/>
      </c>
      <c r="E16" s="6">
        <f>IFERROR(VLOOKUP(E15,'Свята'!$A$5:$D$60,4,FALSE),"")</f>
        <v/>
      </c>
      <c r="F16" s="6">
        <f>IFERROR(VLOOKUP(F15,'Свята'!$A$5:$D$60,4,FALSE),"")</f>
        <v/>
      </c>
      <c r="G16" s="6">
        <f>IFERROR(VLOOKUP(G15,'Свята'!$A$5:$D$60,4,FALSE),"")</f>
        <v/>
      </c>
      <c r="H16" s="6">
        <f>IFERROR(VLOOKUP(H15,'Свята'!$A$5:$D$60,4,FALSE),"")</f>
        <v/>
      </c>
    </row>
    <row r="17" ht="72" customHeight="1">
      <c r="B17" s="9" t="inlineStr">
        <is>
          <t>🪨 Камінь у руках  ·  09:00
Справжній чи підробка? Тест солоною водою  →</t>
        </is>
      </c>
      <c r="C17" s="8">
        <f>IFERROR(VLOOKUP(C15,'Свята'!$A$5:$E$60,5,FALSE),"")</f>
        <v/>
      </c>
      <c r="D17" s="11" t="inlineStr">
        <is>
          <t>🔨 Як це зроблено  ·  21:00
Один день на виробництві за 20 секунд  →</t>
        </is>
      </c>
      <c r="E17" s="8">
        <f>IFERROR(VLOOKUP(E15,'Свята'!$A$5:$E$60,5,FALSE),"")</f>
        <v/>
      </c>
      <c r="F17" s="10" t="inlineStr">
        <is>
          <t>🎁 Річ у ділі  ·  21:00
День ангела Дмитра: іменна ікона в подарунок  →</t>
        </is>
      </c>
      <c r="G17" s="8">
        <f>IFERROR(VLOOKUP(G15,'Свята'!$A$5:$E$60,5,FALSE),"")</f>
        <v/>
      </c>
      <c r="H17" s="12" t="inlineStr">
        <is>
          <t>🔥 Вау-масштаб  ·  11:00
Шахи з бурштину: розставляємо партію  →</t>
        </is>
      </c>
    </row>
    <row r="18" ht="34" customHeight="1">
      <c r="B18" s="5" t="n">
        <v>46321</v>
      </c>
      <c r="C18" s="5" t="n">
        <v>46322</v>
      </c>
      <c r="D18" s="5" t="n">
        <v>46323</v>
      </c>
      <c r="E18" s="5" t="n">
        <v>46324</v>
      </c>
      <c r="F18" s="5" t="n">
        <v>46325</v>
      </c>
      <c r="G18" s="5" t="n">
        <v>46326</v>
      </c>
      <c r="H18" s="5" t="n"/>
    </row>
    <row r="19" ht="22" customHeight="1">
      <c r="B19" s="6">
        <f>IFERROR(VLOOKUP(B18,'Свята'!$A$5:$D$60,4,FALSE),"")</f>
        <v/>
      </c>
      <c r="C19" s="6">
        <f>IFERROR(VLOOKUP(C18,'Свята'!$A$5:$D$60,4,FALSE),"")</f>
        <v/>
      </c>
      <c r="D19" s="6">
        <f>IFERROR(VLOOKUP(D18,'Свята'!$A$5:$D$60,4,FALSE),"")</f>
        <v/>
      </c>
      <c r="E19" s="6">
        <f>IFERROR(VLOOKUP(E18,'Свята'!$A$5:$D$60,4,FALSE),"")</f>
        <v/>
      </c>
      <c r="F19" s="6">
        <f>IFERROR(VLOOKUP(F18,'Свята'!$A$5:$D$60,4,FALSE),"")</f>
        <v/>
      </c>
      <c r="G19" s="6">
        <f>IFERROR(VLOOKUP(G18,'Свята'!$A$5:$D$60,4,FALSE),"")</f>
        <v/>
      </c>
      <c r="H19" s="6" t="n"/>
    </row>
    <row r="20" ht="72" customHeight="1">
      <c r="B20" s="9" t="inlineStr">
        <is>
          <t>🪨 Камінь у руках  ·  09:00
Світлий чи темний? Обирайте  →</t>
        </is>
      </c>
      <c r="C20" s="8">
        <f>IFERROR(VLOOKUP(C18,'Свята'!$A$5:$E$60,5,FALSE),"")</f>
        <v/>
      </c>
      <c r="D20" s="11" t="inlineStr">
        <is>
          <t>🔨 Як це зроблено  ·  21:00
До і після полірування  →</t>
        </is>
      </c>
      <c r="E20" s="8">
        <f>IFERROR(VLOOKUP(E18,'Свята'!$A$5:$E$60,5,FALSE),"")</f>
        <v/>
      </c>
      <c r="F20" s="10" t="inlineStr">
        <is>
          <t>🎁 Річ у ділі  ·  21:00
Подарунок чоловікові: 3 ідеї до Михайла і Миколая  →</t>
        </is>
      </c>
      <c r="G20" s="12" t="inlineStr">
        <is>
          <t>🔥 Вау-масштаб  ·  11:00
Застиглі навіки: інклюзи в бурштині  →</t>
        </is>
      </c>
      <c r="H20" s="7" t="n"/>
    </row>
    <row r="22" ht="32" customHeight="1">
      <c r="B22" s="13" t="inlineStr">
        <is>
          <t>РУБРИКИ</t>
        </is>
      </c>
      <c r="C22" s="14" t="inlineStr">
        <is>
          <t>🪨 Камінь у руках
Пн · 09:00</t>
        </is>
      </c>
      <c r="D22" s="15" t="inlineStr">
        <is>
          <t>🔨 Як це зроблено
Ср · 21:00</t>
        </is>
      </c>
      <c r="E22" s="16" t="inlineStr">
        <is>
          <t>🎁 Річ у ділі
Пт · 21:00</t>
        </is>
      </c>
      <c r="F22" s="17" t="inlineStr">
        <is>
          <t>🔥 Вау-масштаб
Нд · 11:00</t>
        </is>
      </c>
      <c r="G22" s="18" t="inlineStr">
        <is>
          <t>Червоним — церковні, державні
і професійні свята (вкладка «Свята»)</t>
        </is>
      </c>
    </row>
    <row r="24" ht="28" customHeight="1">
      <c r="B24" s="19" t="inlineStr">
        <is>
          <t>Натисніть на відео — відкриється його сценарій у вкладці «Сценарії». Звідти «№ ↑» повертає в календар. Переносите відео — змініть дату і тут, і в «Сценаріях». Свята і підказки підтягуються з вкладки «Свята».</t>
        </is>
      </c>
    </row>
    <row r="26" ht="10" customHeight="1"/>
    <row r="27" ht="78" customHeight="1">
      <c r="B27" s="1" t="inlineStr">
        <is>
          <t>Листопад</t>
        </is>
      </c>
      <c r="F27" s="2" t="inlineStr">
        <is>
          <t>2026</t>
        </is>
      </c>
    </row>
    <row r="28" ht="24" customHeight="1">
      <c r="B28" s="3" t="inlineStr">
        <is>
          <t>Свята і підказки, як їх використати. Відео на листопад — у наступному плані.</t>
        </is>
      </c>
    </row>
    <row r="29" ht="8" customHeight="1"/>
    <row r="30" ht="28" customHeight="1">
      <c r="B30" s="4" t="inlineStr">
        <is>
          <t>ПОНЕДІЛОК</t>
        </is>
      </c>
      <c r="C30" s="4" t="inlineStr">
        <is>
          <t>ВІВТОРОК</t>
        </is>
      </c>
      <c r="D30" s="4" t="inlineStr">
        <is>
          <t>СЕРЕДА</t>
        </is>
      </c>
      <c r="E30" s="4" t="inlineStr">
        <is>
          <t>ЧЕТВЕР</t>
        </is>
      </c>
      <c r="F30" s="4" t="inlineStr">
        <is>
          <t>П’ЯТНИЦЯ</t>
        </is>
      </c>
      <c r="G30" s="4" t="inlineStr">
        <is>
          <t>СУБОТА</t>
        </is>
      </c>
      <c r="H30" s="4" t="inlineStr">
        <is>
          <t>НЕДІЛЯ</t>
        </is>
      </c>
    </row>
    <row r="31" ht="34" customHeight="1">
      <c r="B31" s="5" t="n"/>
      <c r="C31" s="5" t="n"/>
      <c r="D31" s="5" t="n"/>
      <c r="E31" s="5" t="n"/>
      <c r="F31" s="5" t="n"/>
      <c r="G31" s="5" t="n"/>
      <c r="H31" s="5" t="n">
        <v>46327</v>
      </c>
    </row>
    <row r="32" ht="22" customHeight="1">
      <c r="B32" s="6" t="n"/>
      <c r="C32" s="6" t="n"/>
      <c r="D32" s="6" t="n"/>
      <c r="E32" s="6" t="n"/>
      <c r="F32" s="6" t="n"/>
      <c r="G32" s="6" t="n"/>
      <c r="H32" s="6">
        <f>IFERROR(VLOOKUP(H31,'Свята'!$A$5:$D$60,4,FALSE),"")</f>
        <v/>
      </c>
    </row>
    <row r="33" ht="72" customHeight="1">
      <c r="B33" s="7" t="n"/>
      <c r="C33" s="7" t="n"/>
      <c r="D33" s="7" t="n"/>
      <c r="E33" s="7" t="n"/>
      <c r="F33" s="7" t="n"/>
      <c r="G33" s="7" t="n"/>
      <c r="H33" s="8">
        <f>IFERROR(VLOOKUP(H31,'Свята'!$A$5:$E$60,5,FALSE),"")</f>
        <v/>
      </c>
    </row>
    <row r="34" ht="34" customHeight="1">
      <c r="B34" s="5" t="n">
        <v>46328</v>
      </c>
      <c r="C34" s="5" t="n">
        <v>46329</v>
      </c>
      <c r="D34" s="5" t="n">
        <v>46330</v>
      </c>
      <c r="E34" s="5" t="n">
        <v>46331</v>
      </c>
      <c r="F34" s="5" t="n">
        <v>46332</v>
      </c>
      <c r="G34" s="5" t="n">
        <v>46333</v>
      </c>
      <c r="H34" s="5" t="n">
        <v>46334</v>
      </c>
    </row>
    <row r="35" ht="22" customHeight="1">
      <c r="B35" s="6">
        <f>IFERROR(VLOOKUP(B34,'Свята'!$A$5:$D$60,4,FALSE),"")</f>
        <v/>
      </c>
      <c r="C35" s="6">
        <f>IFERROR(VLOOKUP(C34,'Свята'!$A$5:$D$60,4,FALSE),"")</f>
        <v/>
      </c>
      <c r="D35" s="6">
        <f>IFERROR(VLOOKUP(D34,'Свята'!$A$5:$D$60,4,FALSE),"")</f>
        <v/>
      </c>
      <c r="E35" s="6">
        <f>IFERROR(VLOOKUP(E34,'Свята'!$A$5:$D$60,4,FALSE),"")</f>
        <v/>
      </c>
      <c r="F35" s="6">
        <f>IFERROR(VLOOKUP(F34,'Свята'!$A$5:$D$60,4,FALSE),"")</f>
        <v/>
      </c>
      <c r="G35" s="6">
        <f>IFERROR(VLOOKUP(G34,'Свята'!$A$5:$D$60,4,FALSE),"")</f>
        <v/>
      </c>
      <c r="H35" s="6">
        <f>IFERROR(VLOOKUP(H34,'Свята'!$A$5:$D$60,4,FALSE),"")</f>
        <v/>
      </c>
    </row>
    <row r="36" ht="72" customHeight="1">
      <c r="B36" s="8">
        <f>IFERROR(VLOOKUP(B34,'Свята'!$A$5:$E$60,5,FALSE),"")</f>
        <v/>
      </c>
      <c r="C36" s="8">
        <f>IFERROR(VLOOKUP(C34,'Свята'!$A$5:$E$60,5,FALSE),"")</f>
        <v/>
      </c>
      <c r="D36" s="8">
        <f>IFERROR(VLOOKUP(D34,'Свята'!$A$5:$E$60,5,FALSE),"")</f>
        <v/>
      </c>
      <c r="E36" s="8">
        <f>IFERROR(VLOOKUP(E34,'Свята'!$A$5:$E$60,5,FALSE),"")</f>
        <v/>
      </c>
      <c r="F36" s="8">
        <f>IFERROR(VLOOKUP(F34,'Свята'!$A$5:$E$60,5,FALSE),"")</f>
        <v/>
      </c>
      <c r="G36" s="8">
        <f>IFERROR(VLOOKUP(G34,'Свята'!$A$5:$E$60,5,FALSE),"")</f>
        <v/>
      </c>
      <c r="H36" s="8">
        <f>IFERROR(VLOOKUP(H34,'Свята'!$A$5:$E$60,5,FALSE),"")</f>
        <v/>
      </c>
    </row>
    <row r="37" ht="34" customHeight="1">
      <c r="B37" s="5" t="n">
        <v>46335</v>
      </c>
      <c r="C37" s="5" t="n">
        <v>46336</v>
      </c>
      <c r="D37" s="5" t="n">
        <v>46337</v>
      </c>
      <c r="E37" s="5" t="n">
        <v>46338</v>
      </c>
      <c r="F37" s="5" t="n">
        <v>46339</v>
      </c>
      <c r="G37" s="5" t="n">
        <v>46340</v>
      </c>
      <c r="H37" s="5" t="n">
        <v>46341</v>
      </c>
    </row>
    <row r="38" ht="22" customHeight="1">
      <c r="B38" s="6">
        <f>IFERROR(VLOOKUP(B37,'Свята'!$A$5:$D$60,4,FALSE),"")</f>
        <v/>
      </c>
      <c r="C38" s="6">
        <f>IFERROR(VLOOKUP(C37,'Свята'!$A$5:$D$60,4,FALSE),"")</f>
        <v/>
      </c>
      <c r="D38" s="6">
        <f>IFERROR(VLOOKUP(D37,'Свята'!$A$5:$D$60,4,FALSE),"")</f>
        <v/>
      </c>
      <c r="E38" s="6">
        <f>IFERROR(VLOOKUP(E37,'Свята'!$A$5:$D$60,4,FALSE),"")</f>
        <v/>
      </c>
      <c r="F38" s="6">
        <f>IFERROR(VLOOKUP(F37,'Свята'!$A$5:$D$60,4,FALSE),"")</f>
        <v/>
      </c>
      <c r="G38" s="6">
        <f>IFERROR(VLOOKUP(G37,'Свята'!$A$5:$D$60,4,FALSE),"")</f>
        <v/>
      </c>
      <c r="H38" s="6">
        <f>IFERROR(VLOOKUP(H37,'Свята'!$A$5:$D$60,4,FALSE),"")</f>
        <v/>
      </c>
    </row>
    <row r="39" ht="72" customHeight="1">
      <c r="B39" s="8">
        <f>IFERROR(VLOOKUP(B37,'Свята'!$A$5:$E$60,5,FALSE),"")</f>
        <v/>
      </c>
      <c r="C39" s="8">
        <f>IFERROR(VLOOKUP(C37,'Свята'!$A$5:$E$60,5,FALSE),"")</f>
        <v/>
      </c>
      <c r="D39" s="8">
        <f>IFERROR(VLOOKUP(D37,'Свята'!$A$5:$E$60,5,FALSE),"")</f>
        <v/>
      </c>
      <c r="E39" s="8">
        <f>IFERROR(VLOOKUP(E37,'Свята'!$A$5:$E$60,5,FALSE),"")</f>
        <v/>
      </c>
      <c r="F39" s="8">
        <f>IFERROR(VLOOKUP(F37,'Свята'!$A$5:$E$60,5,FALSE),"")</f>
        <v/>
      </c>
      <c r="G39" s="8">
        <f>IFERROR(VLOOKUP(G37,'Свята'!$A$5:$E$60,5,FALSE),"")</f>
        <v/>
      </c>
      <c r="H39" s="8">
        <f>IFERROR(VLOOKUP(H37,'Свята'!$A$5:$E$60,5,FALSE),"")</f>
        <v/>
      </c>
    </row>
    <row r="40" ht="34" customHeight="1">
      <c r="B40" s="5" t="n">
        <v>46342</v>
      </c>
      <c r="C40" s="5" t="n">
        <v>46343</v>
      </c>
      <c r="D40" s="5" t="n">
        <v>46344</v>
      </c>
      <c r="E40" s="5" t="n">
        <v>46345</v>
      </c>
      <c r="F40" s="5" t="n">
        <v>46346</v>
      </c>
      <c r="G40" s="5" t="n">
        <v>46347</v>
      </c>
      <c r="H40" s="5" t="n">
        <v>46348</v>
      </c>
    </row>
    <row r="41" ht="22" customHeight="1">
      <c r="B41" s="6">
        <f>IFERROR(VLOOKUP(B40,'Свята'!$A$5:$D$60,4,FALSE),"")</f>
        <v/>
      </c>
      <c r="C41" s="6">
        <f>IFERROR(VLOOKUP(C40,'Свята'!$A$5:$D$60,4,FALSE),"")</f>
        <v/>
      </c>
      <c r="D41" s="6">
        <f>IFERROR(VLOOKUP(D40,'Свята'!$A$5:$D$60,4,FALSE),"")</f>
        <v/>
      </c>
      <c r="E41" s="6">
        <f>IFERROR(VLOOKUP(E40,'Свята'!$A$5:$D$60,4,FALSE),"")</f>
        <v/>
      </c>
      <c r="F41" s="6">
        <f>IFERROR(VLOOKUP(F40,'Свята'!$A$5:$D$60,4,FALSE),"")</f>
        <v/>
      </c>
      <c r="G41" s="6">
        <f>IFERROR(VLOOKUP(G40,'Свята'!$A$5:$D$60,4,FALSE),"")</f>
        <v/>
      </c>
      <c r="H41" s="6">
        <f>IFERROR(VLOOKUP(H40,'Свята'!$A$5:$D$60,4,FALSE),"")</f>
        <v/>
      </c>
    </row>
    <row r="42" ht="72" customHeight="1">
      <c r="B42" s="8">
        <f>IFERROR(VLOOKUP(B40,'Свята'!$A$5:$E$60,5,FALSE),"")</f>
        <v/>
      </c>
      <c r="C42" s="8">
        <f>IFERROR(VLOOKUP(C40,'Свята'!$A$5:$E$60,5,FALSE),"")</f>
        <v/>
      </c>
      <c r="D42" s="8">
        <f>IFERROR(VLOOKUP(D40,'Свята'!$A$5:$E$60,5,FALSE),"")</f>
        <v/>
      </c>
      <c r="E42" s="8">
        <f>IFERROR(VLOOKUP(E40,'Свята'!$A$5:$E$60,5,FALSE),"")</f>
        <v/>
      </c>
      <c r="F42" s="8">
        <f>IFERROR(VLOOKUP(F40,'Свята'!$A$5:$E$60,5,FALSE),"")</f>
        <v/>
      </c>
      <c r="G42" s="8">
        <f>IFERROR(VLOOKUP(G40,'Свята'!$A$5:$E$60,5,FALSE),"")</f>
        <v/>
      </c>
      <c r="H42" s="8">
        <f>IFERROR(VLOOKUP(H40,'Свята'!$A$5:$E$60,5,FALSE),"")</f>
        <v/>
      </c>
    </row>
    <row r="43" ht="34" customHeight="1">
      <c r="B43" s="5" t="n">
        <v>46349</v>
      </c>
      <c r="C43" s="5" t="n">
        <v>46350</v>
      </c>
      <c r="D43" s="5" t="n">
        <v>46351</v>
      </c>
      <c r="E43" s="5" t="n">
        <v>46352</v>
      </c>
      <c r="F43" s="5" t="n">
        <v>46353</v>
      </c>
      <c r="G43" s="5" t="n">
        <v>46354</v>
      </c>
      <c r="H43" s="5" t="n">
        <v>46355</v>
      </c>
    </row>
    <row r="44" ht="22" customHeight="1">
      <c r="B44" s="6">
        <f>IFERROR(VLOOKUP(B43,'Свята'!$A$5:$D$60,4,FALSE),"")</f>
        <v/>
      </c>
      <c r="C44" s="6">
        <f>IFERROR(VLOOKUP(C43,'Свята'!$A$5:$D$60,4,FALSE),"")</f>
        <v/>
      </c>
      <c r="D44" s="6">
        <f>IFERROR(VLOOKUP(D43,'Свята'!$A$5:$D$60,4,FALSE),"")</f>
        <v/>
      </c>
      <c r="E44" s="6">
        <f>IFERROR(VLOOKUP(E43,'Свята'!$A$5:$D$60,4,FALSE),"")</f>
        <v/>
      </c>
      <c r="F44" s="6">
        <f>IFERROR(VLOOKUP(F43,'Свята'!$A$5:$D$60,4,FALSE),"")</f>
        <v/>
      </c>
      <c r="G44" s="6">
        <f>IFERROR(VLOOKUP(G43,'Свята'!$A$5:$D$60,4,FALSE),"")</f>
        <v/>
      </c>
      <c r="H44" s="6">
        <f>IFERROR(VLOOKUP(H43,'Свята'!$A$5:$D$60,4,FALSE),"")</f>
        <v/>
      </c>
    </row>
    <row r="45" ht="72" customHeight="1">
      <c r="B45" s="8">
        <f>IFERROR(VLOOKUP(B43,'Свята'!$A$5:$E$60,5,FALSE),"")</f>
        <v/>
      </c>
      <c r="C45" s="8">
        <f>IFERROR(VLOOKUP(C43,'Свята'!$A$5:$E$60,5,FALSE),"")</f>
        <v/>
      </c>
      <c r="D45" s="8">
        <f>IFERROR(VLOOKUP(D43,'Свята'!$A$5:$E$60,5,FALSE),"")</f>
        <v/>
      </c>
      <c r="E45" s="8">
        <f>IFERROR(VLOOKUP(E43,'Свята'!$A$5:$E$60,5,FALSE),"")</f>
        <v/>
      </c>
      <c r="F45" s="8">
        <f>IFERROR(VLOOKUP(F43,'Свята'!$A$5:$E$60,5,FALSE),"")</f>
        <v/>
      </c>
      <c r="G45" s="8">
        <f>IFERROR(VLOOKUP(G43,'Свята'!$A$5:$E$60,5,FALSE),"")</f>
        <v/>
      </c>
      <c r="H45" s="8">
        <f>IFERROR(VLOOKUP(H43,'Свята'!$A$5:$E$60,5,FALSE),"")</f>
        <v/>
      </c>
    </row>
    <row r="46" ht="34" customHeight="1">
      <c r="B46" s="5" t="n">
        <v>46356</v>
      </c>
      <c r="C46" s="5" t="n"/>
      <c r="D46" s="5" t="n"/>
      <c r="E46" s="5" t="n"/>
      <c r="F46" s="5" t="n"/>
      <c r="G46" s="5" t="n"/>
      <c r="H46" s="5" t="n"/>
    </row>
    <row r="47" ht="22" customHeight="1">
      <c r="B47" s="6">
        <f>IFERROR(VLOOKUP(B46,'Свята'!$A$5:$D$60,4,FALSE),"")</f>
        <v/>
      </c>
      <c r="C47" s="6" t="n"/>
      <c r="D47" s="6" t="n"/>
      <c r="E47" s="6" t="n"/>
      <c r="F47" s="6" t="n"/>
      <c r="G47" s="6" t="n"/>
      <c r="H47" s="6" t="n"/>
    </row>
    <row r="48" ht="72" customHeight="1">
      <c r="B48" s="8">
        <f>IFERROR(VLOOKUP(B46,'Свята'!$A$5:$E$60,5,FALSE),"")</f>
        <v/>
      </c>
      <c r="C48" s="7" t="n"/>
      <c r="D48" s="7" t="n"/>
      <c r="E48" s="7" t="n"/>
      <c r="F48" s="7" t="n"/>
      <c r="G48" s="7" t="n"/>
      <c r="H48" s="7" t="n"/>
    </row>
    <row r="50" ht="10" customHeight="1"/>
    <row r="51" ht="78" customHeight="1">
      <c r="B51" s="1" t="inlineStr">
        <is>
          <t>Грудень</t>
        </is>
      </c>
      <c r="F51" s="2" t="inlineStr">
        <is>
          <t>2026</t>
        </is>
      </c>
    </row>
    <row r="52" ht="24" customHeight="1">
      <c r="B52" s="3" t="inlineStr">
        <is>
          <t>Свята і підказки, як їх використати. Відео на грудень — у наступному плані.</t>
        </is>
      </c>
    </row>
    <row r="53" ht="8" customHeight="1"/>
    <row r="54" ht="28" customHeight="1">
      <c r="B54" s="4" t="inlineStr">
        <is>
          <t>ПОНЕДІЛОК</t>
        </is>
      </c>
      <c r="C54" s="4" t="inlineStr">
        <is>
          <t>ВІВТОРОК</t>
        </is>
      </c>
      <c r="D54" s="4" t="inlineStr">
        <is>
          <t>СЕРЕДА</t>
        </is>
      </c>
      <c r="E54" s="4" t="inlineStr">
        <is>
          <t>ЧЕТВЕР</t>
        </is>
      </c>
      <c r="F54" s="4" t="inlineStr">
        <is>
          <t>П’ЯТНИЦЯ</t>
        </is>
      </c>
      <c r="G54" s="4" t="inlineStr">
        <is>
          <t>СУБОТА</t>
        </is>
      </c>
      <c r="H54" s="4" t="inlineStr">
        <is>
          <t>НЕДІЛЯ</t>
        </is>
      </c>
    </row>
    <row r="55" ht="34" customHeight="1">
      <c r="B55" s="5" t="n"/>
      <c r="C55" s="5" t="n">
        <v>46357</v>
      </c>
      <c r="D55" s="5" t="n">
        <v>46358</v>
      </c>
      <c r="E55" s="5" t="n">
        <v>46359</v>
      </c>
      <c r="F55" s="5" t="n">
        <v>46360</v>
      </c>
      <c r="G55" s="5" t="n">
        <v>46361</v>
      </c>
      <c r="H55" s="5" t="n">
        <v>46362</v>
      </c>
    </row>
    <row r="56" ht="22" customHeight="1">
      <c r="B56" s="6" t="n"/>
      <c r="C56" s="6">
        <f>IFERROR(VLOOKUP(C55,'Свята'!$A$5:$D$60,4,FALSE),"")</f>
        <v/>
      </c>
      <c r="D56" s="6">
        <f>IFERROR(VLOOKUP(D55,'Свята'!$A$5:$D$60,4,FALSE),"")</f>
        <v/>
      </c>
      <c r="E56" s="6">
        <f>IFERROR(VLOOKUP(E55,'Свята'!$A$5:$D$60,4,FALSE),"")</f>
        <v/>
      </c>
      <c r="F56" s="6">
        <f>IFERROR(VLOOKUP(F55,'Свята'!$A$5:$D$60,4,FALSE),"")</f>
        <v/>
      </c>
      <c r="G56" s="6">
        <f>IFERROR(VLOOKUP(G55,'Свята'!$A$5:$D$60,4,FALSE),"")</f>
        <v/>
      </c>
      <c r="H56" s="6">
        <f>IFERROR(VLOOKUP(H55,'Свята'!$A$5:$D$60,4,FALSE),"")</f>
        <v/>
      </c>
    </row>
    <row r="57" ht="72" customHeight="1">
      <c r="B57" s="7" t="n"/>
      <c r="C57" s="8">
        <f>IFERROR(VLOOKUP(C55,'Свята'!$A$5:$E$60,5,FALSE),"")</f>
        <v/>
      </c>
      <c r="D57" s="8">
        <f>IFERROR(VLOOKUP(D55,'Свята'!$A$5:$E$60,5,FALSE),"")</f>
        <v/>
      </c>
      <c r="E57" s="8">
        <f>IFERROR(VLOOKUP(E55,'Свята'!$A$5:$E$60,5,FALSE),"")</f>
        <v/>
      </c>
      <c r="F57" s="8">
        <f>IFERROR(VLOOKUP(F55,'Свята'!$A$5:$E$60,5,FALSE),"")</f>
        <v/>
      </c>
      <c r="G57" s="8">
        <f>IFERROR(VLOOKUP(G55,'Свята'!$A$5:$E$60,5,FALSE),"")</f>
        <v/>
      </c>
      <c r="H57" s="8">
        <f>IFERROR(VLOOKUP(H55,'Свята'!$A$5:$E$60,5,FALSE),"")</f>
        <v/>
      </c>
    </row>
    <row r="58" ht="34" customHeight="1">
      <c r="B58" s="5" t="n">
        <v>46363</v>
      </c>
      <c r="C58" s="5" t="n">
        <v>46364</v>
      </c>
      <c r="D58" s="5" t="n">
        <v>46365</v>
      </c>
      <c r="E58" s="5" t="n">
        <v>46366</v>
      </c>
      <c r="F58" s="5" t="n">
        <v>46367</v>
      </c>
      <c r="G58" s="5" t="n">
        <v>46368</v>
      </c>
      <c r="H58" s="5" t="n">
        <v>46369</v>
      </c>
    </row>
    <row r="59" ht="22" customHeight="1">
      <c r="B59" s="6">
        <f>IFERROR(VLOOKUP(B58,'Свята'!$A$5:$D$60,4,FALSE),"")</f>
        <v/>
      </c>
      <c r="C59" s="6">
        <f>IFERROR(VLOOKUP(C58,'Свята'!$A$5:$D$60,4,FALSE),"")</f>
        <v/>
      </c>
      <c r="D59" s="6">
        <f>IFERROR(VLOOKUP(D58,'Свята'!$A$5:$D$60,4,FALSE),"")</f>
        <v/>
      </c>
      <c r="E59" s="6">
        <f>IFERROR(VLOOKUP(E58,'Свята'!$A$5:$D$60,4,FALSE),"")</f>
        <v/>
      </c>
      <c r="F59" s="6">
        <f>IFERROR(VLOOKUP(F58,'Свята'!$A$5:$D$60,4,FALSE),"")</f>
        <v/>
      </c>
      <c r="G59" s="6">
        <f>IFERROR(VLOOKUP(G58,'Свята'!$A$5:$D$60,4,FALSE),"")</f>
        <v/>
      </c>
      <c r="H59" s="6">
        <f>IFERROR(VLOOKUP(H58,'Свята'!$A$5:$D$60,4,FALSE),"")</f>
        <v/>
      </c>
    </row>
    <row r="60" ht="72" customHeight="1">
      <c r="B60" s="8">
        <f>IFERROR(VLOOKUP(B58,'Свята'!$A$5:$E$60,5,FALSE),"")</f>
        <v/>
      </c>
      <c r="C60" s="8">
        <f>IFERROR(VLOOKUP(C58,'Свята'!$A$5:$E$60,5,FALSE),"")</f>
        <v/>
      </c>
      <c r="D60" s="8">
        <f>IFERROR(VLOOKUP(D58,'Свята'!$A$5:$E$60,5,FALSE),"")</f>
        <v/>
      </c>
      <c r="E60" s="8">
        <f>IFERROR(VLOOKUP(E58,'Свята'!$A$5:$E$60,5,FALSE),"")</f>
        <v/>
      </c>
      <c r="F60" s="8">
        <f>IFERROR(VLOOKUP(F58,'Свята'!$A$5:$E$60,5,FALSE),"")</f>
        <v/>
      </c>
      <c r="G60" s="8">
        <f>IFERROR(VLOOKUP(G58,'Свята'!$A$5:$E$60,5,FALSE),"")</f>
        <v/>
      </c>
      <c r="H60" s="8">
        <f>IFERROR(VLOOKUP(H58,'Свята'!$A$5:$E$60,5,FALSE),"")</f>
        <v/>
      </c>
    </row>
    <row r="61" ht="34" customHeight="1">
      <c r="B61" s="5" t="n">
        <v>46370</v>
      </c>
      <c r="C61" s="5" t="n">
        <v>46371</v>
      </c>
      <c r="D61" s="5" t="n">
        <v>46372</v>
      </c>
      <c r="E61" s="5" t="n">
        <v>46373</v>
      </c>
      <c r="F61" s="5" t="n">
        <v>46374</v>
      </c>
      <c r="G61" s="5" t="n">
        <v>46375</v>
      </c>
      <c r="H61" s="5" t="n">
        <v>46376</v>
      </c>
    </row>
    <row r="62" ht="22" customHeight="1">
      <c r="B62" s="6">
        <f>IFERROR(VLOOKUP(B61,'Свята'!$A$5:$D$60,4,FALSE),"")</f>
        <v/>
      </c>
      <c r="C62" s="6">
        <f>IFERROR(VLOOKUP(C61,'Свята'!$A$5:$D$60,4,FALSE),"")</f>
        <v/>
      </c>
      <c r="D62" s="6">
        <f>IFERROR(VLOOKUP(D61,'Свята'!$A$5:$D$60,4,FALSE),"")</f>
        <v/>
      </c>
      <c r="E62" s="6">
        <f>IFERROR(VLOOKUP(E61,'Свята'!$A$5:$D$60,4,FALSE),"")</f>
        <v/>
      </c>
      <c r="F62" s="6">
        <f>IFERROR(VLOOKUP(F61,'Свята'!$A$5:$D$60,4,FALSE),"")</f>
        <v/>
      </c>
      <c r="G62" s="6">
        <f>IFERROR(VLOOKUP(G61,'Свята'!$A$5:$D$60,4,FALSE),"")</f>
        <v/>
      </c>
      <c r="H62" s="6">
        <f>IFERROR(VLOOKUP(H61,'Свята'!$A$5:$D$60,4,FALSE),"")</f>
        <v/>
      </c>
    </row>
    <row r="63" ht="72" customHeight="1">
      <c r="B63" s="8">
        <f>IFERROR(VLOOKUP(B61,'Свята'!$A$5:$E$60,5,FALSE),"")</f>
        <v/>
      </c>
      <c r="C63" s="8">
        <f>IFERROR(VLOOKUP(C61,'Свята'!$A$5:$E$60,5,FALSE),"")</f>
        <v/>
      </c>
      <c r="D63" s="8">
        <f>IFERROR(VLOOKUP(D61,'Свята'!$A$5:$E$60,5,FALSE),"")</f>
        <v/>
      </c>
      <c r="E63" s="8">
        <f>IFERROR(VLOOKUP(E61,'Свята'!$A$5:$E$60,5,FALSE),"")</f>
        <v/>
      </c>
      <c r="F63" s="8">
        <f>IFERROR(VLOOKUP(F61,'Свята'!$A$5:$E$60,5,FALSE),"")</f>
        <v/>
      </c>
      <c r="G63" s="8">
        <f>IFERROR(VLOOKUP(G61,'Свята'!$A$5:$E$60,5,FALSE),"")</f>
        <v/>
      </c>
      <c r="H63" s="8">
        <f>IFERROR(VLOOKUP(H61,'Свята'!$A$5:$E$60,5,FALSE),"")</f>
        <v/>
      </c>
    </row>
    <row r="64" ht="34" customHeight="1">
      <c r="B64" s="5" t="n">
        <v>46377</v>
      </c>
      <c r="C64" s="5" t="n">
        <v>46378</v>
      </c>
      <c r="D64" s="5" t="n">
        <v>46379</v>
      </c>
      <c r="E64" s="5" t="n">
        <v>46380</v>
      </c>
      <c r="F64" s="5" t="n">
        <v>46381</v>
      </c>
      <c r="G64" s="5" t="n">
        <v>46382</v>
      </c>
      <c r="H64" s="5" t="n">
        <v>46383</v>
      </c>
    </row>
    <row r="65" ht="22" customHeight="1">
      <c r="B65" s="6">
        <f>IFERROR(VLOOKUP(B64,'Свята'!$A$5:$D$60,4,FALSE),"")</f>
        <v/>
      </c>
      <c r="C65" s="6">
        <f>IFERROR(VLOOKUP(C64,'Свята'!$A$5:$D$60,4,FALSE),"")</f>
        <v/>
      </c>
      <c r="D65" s="6">
        <f>IFERROR(VLOOKUP(D64,'Свята'!$A$5:$D$60,4,FALSE),"")</f>
        <v/>
      </c>
      <c r="E65" s="6">
        <f>IFERROR(VLOOKUP(E64,'Свята'!$A$5:$D$60,4,FALSE),"")</f>
        <v/>
      </c>
      <c r="F65" s="6">
        <f>IFERROR(VLOOKUP(F64,'Свята'!$A$5:$D$60,4,FALSE),"")</f>
        <v/>
      </c>
      <c r="G65" s="6">
        <f>IFERROR(VLOOKUP(G64,'Свята'!$A$5:$D$60,4,FALSE),"")</f>
        <v/>
      </c>
      <c r="H65" s="6">
        <f>IFERROR(VLOOKUP(H64,'Свята'!$A$5:$D$60,4,FALSE),"")</f>
        <v/>
      </c>
    </row>
    <row r="66" ht="72" customHeight="1">
      <c r="B66" s="8">
        <f>IFERROR(VLOOKUP(B64,'Свята'!$A$5:$E$60,5,FALSE),"")</f>
        <v/>
      </c>
      <c r="C66" s="8">
        <f>IFERROR(VLOOKUP(C64,'Свята'!$A$5:$E$60,5,FALSE),"")</f>
        <v/>
      </c>
      <c r="D66" s="8">
        <f>IFERROR(VLOOKUP(D64,'Свята'!$A$5:$E$60,5,FALSE),"")</f>
        <v/>
      </c>
      <c r="E66" s="8">
        <f>IFERROR(VLOOKUP(E64,'Свята'!$A$5:$E$60,5,FALSE),"")</f>
        <v/>
      </c>
      <c r="F66" s="8">
        <f>IFERROR(VLOOKUP(F64,'Свята'!$A$5:$E$60,5,FALSE),"")</f>
        <v/>
      </c>
      <c r="G66" s="8">
        <f>IFERROR(VLOOKUP(G64,'Свята'!$A$5:$E$60,5,FALSE),"")</f>
        <v/>
      </c>
      <c r="H66" s="8">
        <f>IFERROR(VLOOKUP(H64,'Свята'!$A$5:$E$60,5,FALSE),"")</f>
        <v/>
      </c>
    </row>
    <row r="67" ht="34" customHeight="1">
      <c r="B67" s="5" t="n">
        <v>46384</v>
      </c>
      <c r="C67" s="5" t="n">
        <v>46385</v>
      </c>
      <c r="D67" s="5" t="n">
        <v>46386</v>
      </c>
      <c r="E67" s="5" t="n">
        <v>46387</v>
      </c>
      <c r="F67" s="5" t="n"/>
      <c r="G67" s="5" t="n"/>
      <c r="H67" s="5" t="n"/>
    </row>
    <row r="68" ht="22" customHeight="1">
      <c r="B68" s="6">
        <f>IFERROR(VLOOKUP(B67,'Свята'!$A$5:$D$60,4,FALSE),"")</f>
        <v/>
      </c>
      <c r="C68" s="6">
        <f>IFERROR(VLOOKUP(C67,'Свята'!$A$5:$D$60,4,FALSE),"")</f>
        <v/>
      </c>
      <c r="D68" s="6">
        <f>IFERROR(VLOOKUP(D67,'Свята'!$A$5:$D$60,4,FALSE),"")</f>
        <v/>
      </c>
      <c r="E68" s="6">
        <f>IFERROR(VLOOKUP(E67,'Свята'!$A$5:$D$60,4,FALSE),"")</f>
        <v/>
      </c>
      <c r="F68" s="6" t="n"/>
      <c r="G68" s="6" t="n"/>
      <c r="H68" s="6" t="n"/>
    </row>
    <row r="69" ht="72" customHeight="1">
      <c r="B69" s="8">
        <f>IFERROR(VLOOKUP(B67,'Свята'!$A$5:$E$60,5,FALSE),"")</f>
        <v/>
      </c>
      <c r="C69" s="8">
        <f>IFERROR(VLOOKUP(C67,'Свята'!$A$5:$E$60,5,FALSE),"")</f>
        <v/>
      </c>
      <c r="D69" s="8">
        <f>IFERROR(VLOOKUP(D67,'Свята'!$A$5:$E$60,5,FALSE),"")</f>
        <v/>
      </c>
      <c r="E69" s="8">
        <f>IFERROR(VLOOKUP(E67,'Свята'!$A$5:$E$60,5,FALSE),"")</f>
        <v/>
      </c>
      <c r="F69" s="7" t="n"/>
      <c r="G69" s="7" t="n"/>
      <c r="H69" s="7" t="n"/>
    </row>
  </sheetData>
  <mergeCells count="10">
    <mergeCell ref="B27:E27"/>
    <mergeCell ref="B52:H52"/>
    <mergeCell ref="F27:H27"/>
    <mergeCell ref="B24:H24"/>
    <mergeCell ref="F2:H2"/>
    <mergeCell ref="B2:E2"/>
    <mergeCell ref="B51:E51"/>
    <mergeCell ref="B3:H3"/>
    <mergeCell ref="B28:H28"/>
    <mergeCell ref="F51:H51"/>
  </mergeCells>
  <hyperlinks>
    <hyperlink ref="B11" location="'Сценарії'!A5" tooltip="Відкрити сценарій" display="🪨 Камінь у руках  ·  09:00&#10;Скільки коштує цей камінь?  →"/>
    <hyperlink ref="D11" location="'Сценарії'!A6" tooltip="Відкрити сценарій" display="🎁 Річ у ділі  ·  21:00&#10;Завтра День юриста: 3 подарунки для кабінету  →"/>
    <hyperlink ref="F11" location="'Сценарії'!A7" tooltip="Відкрити сценарій" display="🔨 Як це зроблено  ·  21:00&#10;Від сирцю до кулона за 15 секунд  →"/>
    <hyperlink ref="H11" location="'Сценарії'!A8" tooltip="Відкрити сценарій" display="🔥 Вау-масштаб  ·  11:00&#10;Картина з бурштину, ч.2  →"/>
    <hyperlink ref="B14" location="'Сценарії'!A9" tooltip="Відкрити сценарій" display="🪨 Камінь у руках  ·  09:00&#10;ASMR: звук бурштину  →"/>
    <hyperlink ref="D14" location="'Сценарії'!A10" tooltip="Відкрити сценарій" display="🔨 Як це зроблено  ·  21:00&#10;Як ми робимо статуетку військової техніки  →"/>
    <hyperlink ref="F14" location="'Сценарії'!A11" tooltip="Відкрити сценарій" display="🎁 Річ у ділі  ·  21:00&#10;Відповідаю: скільки коштує бурштин?  →"/>
    <hyperlink ref="H14" location="'Сценарії'!A12" tooltip="Відкрити сценарій" display="🔥 Вау-масштаб  ·  11:00&#10;День апостола Луки: ікона з бурштину  →"/>
    <hyperlink ref="B17" location="'Сценарії'!A13" tooltip="Відкрити сценарій" display="🪨 Камінь у руках  ·  09:00&#10;Справжній чи підробка? Тест солоною водою  →"/>
    <hyperlink ref="D17" location="'Сценарії'!A14" tooltip="Відкрити сценарій" display="🔨 Як це зроблено  ·  21:00&#10;Один день на виробництві за 20 секунд  →"/>
    <hyperlink ref="F17" location="'Сценарії'!A15" tooltip="Відкрити сценарій" display="🎁 Річ у ділі  ·  21:00&#10;День ангела Дмитра: іменна ікона в подарунок  →"/>
    <hyperlink ref="H17" location="'Сценарії'!A16" tooltip="Відкрити сценарій" display="🔥 Вау-масштаб  ·  11:00&#10;Шахи з бурштину: розставляємо партію  →"/>
    <hyperlink ref="B20" location="'Сценарії'!A17" tooltip="Відкрити сценарій" display="🪨 Камінь у руках  ·  09:00&#10;Світлий чи темний? Обирайте  →"/>
    <hyperlink ref="D20" location="'Сценарії'!A18" tooltip="Відкрити сценарій" display="🔨 Як це зроблено  ·  21:00&#10;До і після полірування  →"/>
    <hyperlink ref="F20" location="'Сценарії'!A19" tooltip="Відкрити сценарій" display="🎁 Річ у ділі  ·  21:00&#10;Подарунок чоловікові: 3 ідеї до Михайла і Миколая  →"/>
    <hyperlink ref="G20" location="'Сценарії'!A20" tooltip="Відкрити сценарій" display="🔥 Вау-масштаб  ·  11:00&#10;Застиглі навіки: інклюзи в бурштині  →"/>
  </hyperlinks>
  <printOptions horizontalCentered="1"/>
  <pageMargins left="0.75" right="0.75" top="1" bottom="1" header="0.5" footer="0.5"/>
  <pageSetup orientation="landscape" paperSize="9" fitToHeight="0" fitToWidth="1"/>
  <rowBreaks count="2" manualBreakCount="2">
    <brk id="25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5" customWidth="1" min="3" max="3"/>
    <col width="6" customWidth="1" min="4" max="4"/>
    <col width="17" customWidth="1" min="5" max="5"/>
    <col width="24" customWidth="1" min="6" max="6"/>
    <col width="20" customWidth="1" min="7" max="7"/>
    <col width="34" customWidth="1" min="8" max="8"/>
    <col width="30" customWidth="1" min="9" max="9"/>
    <col width="44" customWidth="1" min="10" max="10"/>
    <col width="9" customWidth="1" min="11" max="11"/>
    <col width="20" customWidth="1" min="12" max="12"/>
    <col width="30" customWidth="1" min="13" max="13"/>
    <col width="30" customWidth="1" min="14" max="14"/>
    <col width="34" customWidth="1" min="15" max="15"/>
    <col width="20" customWidth="1" min="16" max="16"/>
    <col width="22" customWidth="1" min="17" max="17"/>
    <col width="28" customWidth="1" min="18" max="18"/>
    <col width="14" customWidth="1" min="19" max="19"/>
    <col width="24" customWidth="1" min="20" max="20"/>
  </cols>
  <sheetData>
    <row r="1" ht="40" customHeight="1">
      <c r="A1" s="20" t="inlineStr">
        <is>
          <t>Сценарії TikTok · жовтень 2026</t>
        </is>
      </c>
    </row>
    <row r="2" ht="44" customHeight="1">
      <c r="A2" s="21" t="inlineStr">
        <is>
          <t>Натисніть «№ ↑», щоб повернутися в календар. Поля [__] заповнює клієнт. Статус обирайте зі списку.</t>
        </is>
      </c>
    </row>
    <row r="4" ht="34" customHeight="1">
      <c r="A4" s="22" t="inlineStr">
        <is>
          <t>№</t>
        </is>
      </c>
      <c r="B4" s="22" t="inlineStr">
        <is>
          <t>Дата</t>
        </is>
      </c>
      <c r="C4" s="22" t="inlineStr">
        <is>
          <t>День</t>
        </is>
      </c>
      <c r="D4" s="22" t="inlineStr">
        <is>
          <t>Час</t>
        </is>
      </c>
      <c r="E4" s="22" t="inlineStr">
        <is>
          <t>Рубрика</t>
        </is>
      </c>
      <c r="F4" s="22" t="inlineStr">
        <is>
          <t>Назва відео</t>
        </is>
      </c>
      <c r="G4" s="22" t="inlineStr">
        <is>
          <t>Свято / привід</t>
        </is>
      </c>
      <c r="H4" s="22" t="inlineStr">
        <is>
          <t>Суть відео</t>
        </is>
      </c>
      <c r="I4" s="22" t="inlineStr">
        <is>
          <t>Хук: перші 1–2 с і текст на екрані</t>
        </is>
      </c>
      <c r="J4" s="22" t="inlineStr">
        <is>
          <t>Розкадровка</t>
        </is>
      </c>
      <c r="K4" s="22" t="inlineStr">
        <is>
          <t>Тривалість</t>
        </is>
      </c>
      <c r="L4" s="22" t="inlineStr">
        <is>
          <t>Звук</t>
        </is>
      </c>
      <c r="M4" s="22" t="inlineStr">
        <is>
          <t>Опис і хештеги</t>
        </is>
      </c>
      <c r="N4" s="22" t="inlineStr">
        <is>
          <t>Закріплений коментар / заклик</t>
        </is>
      </c>
      <c r="O4" s="22" t="inlineStr">
        <is>
          <t>Мета: що дасть</t>
        </is>
      </c>
      <c r="P4" s="22" t="inlineStr">
        <is>
          <t>KPI-орієнтир</t>
        </is>
      </c>
      <c r="Q4" s="22" t="inlineStr">
        <is>
          <t>Референс</t>
        </is>
      </c>
      <c r="R4" s="22" t="inlineStr">
        <is>
          <t>Що потрібно для зйомки</t>
        </is>
      </c>
      <c r="S4" s="22" t="inlineStr">
        <is>
          <t>Статус</t>
        </is>
      </c>
      <c r="T4" s="22" t="inlineStr">
        <is>
          <t>Коментар клієнта</t>
        </is>
      </c>
    </row>
    <row r="5" ht="99.34999999999999" customHeight="1">
      <c r="A5" s="23" t="inlineStr">
        <is>
          <t>1 ↑</t>
        </is>
      </c>
      <c r="B5" s="24" t="n">
        <v>46300</v>
      </c>
      <c r="C5" s="25" t="inlineStr">
        <is>
          <t>Пн</t>
        </is>
      </c>
      <c r="D5" s="25" t="inlineStr">
        <is>
          <t>09:00</t>
        </is>
      </c>
      <c r="E5" s="25" t="inlineStr">
        <is>
          <t>🪨 Камінь у руках</t>
        </is>
      </c>
      <c r="F5" s="26" t="inlineStr">
        <is>
          <t>Скільки коштує цей камінь?</t>
        </is>
      </c>
      <c r="G5" s="27">
        <f>IFERROR(VLOOKUP(B5,'Свята'!$A$5:$D$60,2,FALSE),"")</f>
        <v/>
      </c>
      <c r="H5" s="25" t="inlineStr">
        <is>
          <t>Рука дістає з контейнера великі шматки сирцю і по черзі підносить до світла. Глядач вгадує ціну в коментарях — так типовий коментар «бачу в руках гроші» стає грою.</t>
        </is>
      </c>
      <c r="I5" s="25" t="inlineStr">
        <is>
          <t>Рука занурюється в повний контейнер і виносить до камери найбільший камінь.
Текст: «Скільки, по-вашому, коштує цей камінь?»</t>
        </is>
      </c>
      <c r="J5" s="25" t="inlineStr">
        <is>
          <t>0–2 с — контейнер, рука дістає найбільший камінь (хук)
2–8 с — 3 камені по черзі на світлі від вікна, повільний поворот
8–12 с — камінь на вагах, вага на екрані
12–14 с — камінь повертається в контейнер (кадр як на початку → петля)</t>
        </is>
      </c>
      <c r="K5" s="25" t="inlineStr">
        <is>
          <t>12–15 с</t>
        </is>
      </c>
      <c r="L5" s="25" t="inlineStr">
        <is>
          <t>Спокійний трек тихо + живий стукіт каміння</t>
        </is>
      </c>
      <c r="M5" s="25" t="inlineStr">
        <is>
          <t>Вгадаєте ціну? Відповідь — завтра в коментарях 👇 #ambergalbin #бурштин #сирець #рівне</t>
        </is>
      </c>
      <c r="N5" s="25" t="inlineStr">
        <is>
          <t>Пишіть свою ціну! Правильну відповідь закріпимо завтра. Каталог — посилання в профілі</t>
        </is>
      </c>
      <c r="O5" s="25" t="inlineStr">
        <is>
          <t>Повторюємо формат «камінь у руках» (27,6 тис.) і додаємо гру: коментарі піднімають ролик у «Для тебе». Збираємо питання про ціну для відео №7.</t>
        </is>
      </c>
      <c r="P5" s="25" t="inlineStr">
        <is>
          <t>≥10 тис. переглядів, ≥30 коментарів</t>
        </is>
      </c>
      <c r="Q5" s="25" t="inlineStr">
        <is>
          <t>«З камінням: необроблений бурштин»</t>
        </is>
      </c>
      <c r="R5" s="25" t="inlineStr">
        <is>
          <t>Контейнер сирцю, 3 великі камені, ваги, денне світло. Ціна каменю — [__] ₴ (від клієнта)</t>
        </is>
      </c>
      <c r="S5" s="25" t="inlineStr">
        <is>
          <t>Ідея</t>
        </is>
      </c>
      <c r="T5" s="25" t="inlineStr"/>
    </row>
    <row r="6" ht="112.4" customHeight="1">
      <c r="A6" s="23" t="inlineStr">
        <is>
          <t>2 ↑</t>
        </is>
      </c>
      <c r="B6" s="24" t="n">
        <v>46302</v>
      </c>
      <c r="C6" s="25" t="inlineStr">
        <is>
          <t>Ср</t>
        </is>
      </c>
      <c r="D6" s="25" t="inlineStr">
        <is>
          <t>21:00</t>
        </is>
      </c>
      <c r="E6" s="25" t="inlineStr">
        <is>
          <t>🎁 Річ у ділі</t>
        </is>
      </c>
      <c r="F6" s="26" t="inlineStr">
        <is>
          <t>Завтра День юриста: 3 подарунки для кабінету</t>
        </is>
      </c>
      <c r="G6" s="27" t="inlineStr">
        <is>
          <t>⚖️ День юриста — 8.10</t>
        </is>
      </c>
      <c r="H6" s="25" t="inlineStr">
        <is>
          <t>Підбірка напередодні Дня юриста (8.10): три вироби для робочого столу юриста, адвоката чи нотаріуса — з ціною на екрані. Аудиторія з високим доходом і традицією ділових подарунків. Через свято середа цього тижня віддана рубриці «Річ у ділі», а «Як це зроблено» переїжджає на п’ятницю.</t>
        </is>
      </c>
      <c r="I6" s="25" t="inlineStr">
        <is>
          <t>Виріб ставиться на дерев’яний стіл поруч із кодексом і печаткою.
Текст: «Що подарувати юристу? 3 ідеї»</t>
        </is>
      </c>
      <c r="J6" s="25" t="inlineStr">
        <is>
          <t>0–2 с — хук: стіл кабінету, перший виріб
2–7 с — письмовий набір: ручку виймають з підставки, ціна на екрані
7–12 с — шахи: рука ставить короля на дошку, ціна
12–17 с — настільна статуетка на світлі, ціна
17–20 с — усі три вироби на столі, текст «Замовлення — в Direct»</t>
        </is>
      </c>
      <c r="K6" s="25" t="inlineStr">
        <is>
          <t>18–20 с</t>
        </is>
      </c>
      <c r="L6" s="25" t="inlineStr">
        <is>
          <t>Спокійний «діловий» трек + субтитри, без голосу</t>
        </is>
      </c>
      <c r="M6" s="25" t="inlineStr">
        <is>
          <t>Подарунок до Дня юриста ⚖️ Ціни — на відео #ambergalbin #деньюриста #подарунокюристу #бурштин</t>
        </is>
      </c>
      <c r="N6" s="25" t="inlineStr">
        <is>
          <t>Письмовий набір [__] ₴, шахи [__] ₴, статуетка [__] ₴. Гравіювання — [так/ні]. Замовити — посилання в профілі або Direct</t>
        </is>
      </c>
      <c r="O6" s="25" t="inlineStr">
        <is>
          <t>Продаж платоспроможній аудиторії саме тоді, коли подарунок шукають. Перший тест «ділових» подарунків; уроки «Доміно» враховані: старт із дії, ціна одразу.</t>
        </is>
      </c>
      <c r="P6" s="25" t="inlineStr">
        <is>
          <t>≥3 тис. переглядів, перегляди профілю ≥3%, запити в Direct</t>
        </is>
      </c>
      <c r="Q6" s="25" t="inlineStr">
        <is>
          <t>«Доміно з бурштину» (помилки, які не повторюємо)</t>
        </is>
      </c>
      <c r="R6" s="25" t="inlineStr">
        <is>
          <t>3 вироби для кабінету з каталогу (обирає клієнт), дерев’яний стіл, кодекс і папки як реквізит, ціни</t>
        </is>
      </c>
      <c r="S6" s="25" t="inlineStr">
        <is>
          <t>Ідея</t>
        </is>
      </c>
      <c r="T6" s="25" t="inlineStr"/>
    </row>
    <row r="7" ht="112.4" customHeight="1">
      <c r="A7" s="23" t="inlineStr">
        <is>
          <t>3 ↑</t>
        </is>
      </c>
      <c r="B7" s="24" t="n">
        <v>46304</v>
      </c>
      <c r="C7" s="25" t="inlineStr">
        <is>
          <t>Пт</t>
        </is>
      </c>
      <c r="D7" s="25" t="inlineStr">
        <is>
          <t>21:00</t>
        </is>
      </c>
      <c r="E7" s="25" t="inlineStr">
        <is>
          <t>🔨 Як це зроблено</t>
        </is>
      </c>
      <c r="F7" s="26" t="inlineStr">
        <is>
          <t>Від сирцю до кулона за 15 секунд</t>
        </is>
      </c>
      <c r="G7" s="27">
        <f>IFERROR(VLOOKUP(B7,'Свята'!$A$5:$D$60,2,FALSE),"")</f>
        <v/>
      </c>
      <c r="H7" s="25" t="inlineStr">
        <is>
          <t>Один камінь проходить увесь шлях: сирий шматок → розпил → шліфування → полірування → свердління → готовий кулон. Монтаж у ритм, без пояснень.</t>
        </is>
      </c>
      <c r="I7" s="25" t="inlineStr">
        <is>
          <t>Брудний сирий камінь у долоні — різкий перехід на готовий сяючий кулон — «перемотка» назад.
Текст: «Цей камінь ми видобули самі»</t>
        </is>
      </c>
      <c r="J7" s="25" t="inlineStr">
        <is>
          <t>0–1 с — сирий камінь → флеш-кадр готового кулона
1–4 с — розпил, пил, руки майстра
4–8 с — шліфування на кругу, камінь світлішає
8–11 с — полірування, перший блиск
11–13 с — свердління / кріплення
13–15 с — кулон у долоні на світлі; текст «Від надр до прикраси — без посередників»</t>
        </is>
      </c>
      <c r="K7" s="25" t="inlineStr">
        <is>
          <t>15 с</t>
        </is>
      </c>
      <c r="L7" s="25" t="inlineStr">
        <is>
          <t>Ритмічний трек, монтаж на біт + живі звуки верстатів</t>
        </is>
      </c>
      <c r="M7" s="25" t="inlineStr">
        <is>
          <t>Від надр Рівненщини до вашої прикраси 🔥 #ambergalbin #бурштин #ручнаробота #якцезроблено</t>
        </is>
      </c>
      <c r="N7" s="25" t="inlineStr">
        <is>
          <t>Хочете побачити, як роблять браслет? Пишіть — знімемо. Кулони — посилання в профілі</t>
        </is>
      </c>
      <c r="O7" s="25" t="inlineStr">
        <is>
          <t>Показує головну перевагу бренду: видобувник і виробник в одному, звідси ціни виробника. Будує довіру і підписки.</t>
        </is>
      </c>
      <c r="P7" s="25" t="inlineStr">
        <is>
          <t>≥5 тис. переглядів, ≥15 нових підписників</t>
        </is>
      </c>
      <c r="Q7" s="25" t="inlineStr">
        <is>
          <t>«Один день на виробництві»</t>
        </is>
      </c>
      <c r="R7" s="25" t="inlineStr">
        <is>
          <t>Один камінь, проведений через усі етапи (1–2 год у майстерні), штатив</t>
        </is>
      </c>
      <c r="S7" s="25" t="inlineStr">
        <is>
          <t>Ідея</t>
        </is>
      </c>
      <c r="T7" s="25" t="inlineStr"/>
    </row>
    <row r="8" ht="112.4" customHeight="1">
      <c r="A8" s="23" t="inlineStr">
        <is>
          <t>4 ↑</t>
        </is>
      </c>
      <c r="B8" s="24" t="n">
        <v>46306</v>
      </c>
      <c r="C8" s="25" t="inlineStr">
        <is>
          <t>Нд</t>
        </is>
      </c>
      <c r="D8" s="25" t="inlineStr">
        <is>
          <t>11:00</t>
        </is>
      </c>
      <c r="E8" s="25" t="inlineStr">
        <is>
          <t>🔥 Вау-масштаб</t>
        </is>
      </c>
      <c r="F8" s="26" t="inlineStr">
        <is>
          <t>Картина з бурштину, ч.2</t>
        </is>
      </c>
      <c r="G8" s="27">
        <f>IFERROR(VLOOKUP(B8,'Свята'!$A$5:$D$60,2,FALSE),"")</f>
        <v/>
      </c>
      <c r="H8" s="25" t="inlineStr">
        <is>
          <t>Продовження рекордного формату. Майстер піднімає зі столу велику картину чи ікону, розвертає до камери, камера наїжджає на деталі. У фіналі — питання, скільки в ній шматочків бурштину.</t>
        </is>
      </c>
      <c r="I8" s="25" t="inlineStr">
        <is>
          <t>Майстер береться за край роботи на столі і рвучко піднімає її.
Текст: «Ламаємо стереотипи про картини з бурштину🔥 ч.2»</t>
        </is>
      </c>
      <c r="J8" s="25" t="inlineStr">
        <is>
          <t>0–2 с — підйом роботи зі столу (як у референсі)
2–5 с — майстер тримає роботу перед собою, видно масштаб
5–10 с — макро: обличчя/очі, переливи на світлі, повільний рух камери
10–13 с — загальний план; текст «Скільки тут шматочків? 👇»</t>
        </is>
      </c>
      <c r="K8" s="25" t="inlineStr">
        <is>
          <t>12–14 с</t>
        </is>
      </c>
      <c r="L8" s="25" t="inlineStr">
        <is>
          <t>Той самий тип треку, що в референсі, без голосу</t>
        </is>
      </c>
      <c r="M8" s="25" t="inlineStr">
        <is>
          <t>Картини з українського бурштину 🎨 #ambergalbin #картиназбурштину #бурштин #рівне</t>
        </is>
      </c>
      <c r="N8" s="25" t="inlineStr">
        <is>
          <t>Правильна відповідь: [__] шматочків. Індивідуальні замовлення — посилання в профілі</t>
        </is>
      </c>
      <c r="O8" s="25" t="inlineStr">
        <is>
          <t>Рекордний формат (152,4 тис., 733 поширення) + гра в коментарях. Серія «ч.2, ч.3» привчає повертатися і підписуватися.</t>
        </is>
      </c>
      <c r="P8" s="25" t="inlineStr">
        <is>
          <t>≥20 тис. переглядів, поширення ≥0,4%</t>
        </is>
      </c>
      <c r="Q8" s="25" t="inlineStr">
        <is>
          <t>«Картину з бурштину — ефект вау»</t>
        </is>
      </c>
      <c r="R8" s="25" t="inlineStr">
        <is>
          <t>Велика картина/ікона, майстер у кадрі, світла майстерня, геотег Рівне, кількість шматочків від майстра</t>
        </is>
      </c>
      <c r="S8" s="25" t="inlineStr">
        <is>
          <t>Ідея</t>
        </is>
      </c>
      <c r="T8" s="25" t="inlineStr"/>
    </row>
    <row r="9" ht="86.3" customHeight="1">
      <c r="A9" s="23" t="inlineStr">
        <is>
          <t>5 ↑</t>
        </is>
      </c>
      <c r="B9" s="24" t="n">
        <v>46307</v>
      </c>
      <c r="C9" s="25" t="inlineStr">
        <is>
          <t>Пн</t>
        </is>
      </c>
      <c r="D9" s="25" t="inlineStr">
        <is>
          <t>09:00</t>
        </is>
      </c>
      <c r="E9" s="25" t="inlineStr">
        <is>
          <t>🪨 Камінь у руках</t>
        </is>
      </c>
      <c r="F9" s="26" t="inlineStr">
        <is>
          <t>ASMR: звук бурштину</t>
        </is>
      </c>
      <c r="G9" s="27">
        <f>IFERROR(VLOOKUP(B9,'Свята'!$A$5:$D$60,2,FALSE),"")</f>
        <v/>
      </c>
      <c r="H9" s="25" t="inlineStr">
        <is>
          <t>Сирий бурштин пересипається з долонь у скляну миску. Без тексту і музики — лише звук. Кадр зациклюється.</t>
        </is>
      </c>
      <c r="I9" s="25" t="inlineStr">
        <is>
          <t>Жменя каменів падає в миску крупним планом зі звуком. Без тексту.</t>
        </is>
      </c>
      <c r="J9" s="25" t="inlineStr">
        <is>
          <t>0–4 с — пересипання з долонь, крупно, мікрофон близько
4–9 с — пальці перебирають камені, світло крізь них
9–12 с — нова жменя (той самий рух, що на початку) → петля</t>
        </is>
      </c>
      <c r="K9" s="25" t="inlineStr">
        <is>
          <t>10–12 с</t>
        </is>
      </c>
      <c r="L9" s="25" t="inlineStr">
        <is>
          <t>Лише живий звук: тихе приміщення, мікрофон біля миски</t>
        </is>
      </c>
      <c r="M9" s="25" t="inlineStr">
        <is>
          <t>Звук бурштину 🎧 #ambergalbin #asmr #бурштин #сирець</t>
        </is>
      </c>
      <c r="N9" s="25" t="inlineStr">
        <is>
          <t>Ще більше процесів — у профілі</t>
        </is>
      </c>
      <c r="O9" s="25" t="inlineStr">
        <is>
          <t>Повторюємо ASMR-лідера (12,2 тис., 71% утримання, понад половина нових підписників тижня). Висока досмотрюваність штовхає ролик у «Для тебе».</t>
        </is>
      </c>
      <c r="P9" s="25" t="inlineStr">
        <is>
          <t>≥8 тис. переглядів, середній час ≥70%</t>
        </is>
      </c>
      <c r="Q9" s="25" t="inlineStr">
        <is>
          <t>ASMR 25.09 + «З камінням: необроблений бурштин»</t>
        </is>
      </c>
      <c r="R9" s="25" t="inlineStr">
        <is>
          <t>Сирець дрібної/середньої фракції, скляна миска, тиша, петличка</t>
        </is>
      </c>
      <c r="S9" s="25" t="inlineStr">
        <is>
          <t>Ідея</t>
        </is>
      </c>
      <c r="T9" s="25" t="inlineStr"/>
    </row>
    <row r="10" ht="86.3" customHeight="1">
      <c r="A10" s="23" t="inlineStr">
        <is>
          <t>6 ↑</t>
        </is>
      </c>
      <c r="B10" s="24" t="n">
        <v>46309</v>
      </c>
      <c r="C10" s="25" t="inlineStr">
        <is>
          <t>Ср</t>
        </is>
      </c>
      <c r="D10" s="25" t="inlineStr">
        <is>
          <t>21:00</t>
        </is>
      </c>
      <c r="E10" s="25" t="inlineStr">
        <is>
          <t>🔨 Як це зроблено</t>
        </is>
      </c>
      <c r="F10" s="26" t="inlineStr">
        <is>
          <t>Як ми робимо статуетку військової техніки</t>
        </is>
      </c>
      <c r="G10" s="27">
        <f>IFERROR(VLOOKUP(B10,'Свята'!$A$5:$D$60,2,FALSE),"")</f>
        <v/>
      </c>
      <c r="H10" s="25" t="inlineStr">
        <is>
          <t>Швидкими кадрами — створення статуетки (танк, літак чи корабель): від підбору каменів до готової фігури на підставці.</t>
        </is>
      </c>
      <c r="I10" s="25" t="inlineStr">
        <is>
          <t>Готова статуетка на 1 секунду, потім «перемотка» назад до купки каменів.
Текст: «Як з цих каменів виходить…»</t>
        </is>
      </c>
      <c r="J10" s="25" t="inlineStr">
        <is>
          <t>0–1 с — готова фігура → перемотка
1–4 с — підбір каменів за кольором
4–9 с — обробка деталей, збирання (крупно руки)
9–12 с — полірування
12–15 с — фігура на підставці, наїзд</t>
        </is>
      </c>
      <c r="K10" s="25" t="inlineStr">
        <is>
          <t>15 с</t>
        </is>
      </c>
      <c r="L10" s="25" t="inlineStr">
        <is>
          <t>Ритмічний трек, монтаж на біт</t>
        </is>
      </c>
      <c r="M10" s="25" t="inlineStr">
        <is>
          <t>Подарунок тим, хто служить 🇺🇦 #ambergalbin #статуетка #ручнаробота #бурштин</t>
        </is>
      </c>
      <c r="N10" s="25" t="inlineStr">
        <is>
          <t>Статуетки «Військова техніка» — у каталозі, посилання в профілі</t>
        </is>
      </c>
      <c r="O10" s="25" t="inlineStr">
        <is>
          <t>Довіра через процес + тема, близька чоловічій аудиторії (64%). Категорія «Військова техніка» — подарунок військовим.</t>
        </is>
      </c>
      <c r="P10" s="25" t="inlineStr">
        <is>
          <t>≥5 тис. переглядів, ≥15 нових підписників</t>
        </is>
      </c>
      <c r="Q10" s="25" t="inlineStr">
        <is>
          <t>«Один день на виробництві»</t>
        </is>
      </c>
      <c r="R10" s="25" t="inlineStr">
        <is>
          <t>Процес виготовлення статуетки (2–3 етапи), ціна</t>
        </is>
      </c>
      <c r="S10" s="25" t="inlineStr">
        <is>
          <t>Ідея</t>
        </is>
      </c>
      <c r="T10" s="25" t="inlineStr"/>
    </row>
    <row r="11" ht="125.45" customHeight="1">
      <c r="A11" s="23" t="inlineStr">
        <is>
          <t>7 ↑</t>
        </is>
      </c>
      <c r="B11" s="24" t="n">
        <v>46311</v>
      </c>
      <c r="C11" s="25" t="inlineStr">
        <is>
          <t>Пт</t>
        </is>
      </c>
      <c r="D11" s="25" t="inlineStr">
        <is>
          <t>21:00</t>
        </is>
      </c>
      <c r="E11" s="25" t="inlineStr">
        <is>
          <t>🎁 Річ у ділі</t>
        </is>
      </c>
      <c r="F11" s="26" t="inlineStr">
        <is>
          <t>Відповідаю: скільки коштує бурштин?</t>
        </is>
      </c>
      <c r="G11" s="27">
        <f>IFERROR(VLOOKUP(B11,'Свята'!$A$5:$D$60,2,FALSE),"")</f>
        <v/>
      </c>
      <c r="H11" s="25" t="inlineStr">
        <is>
          <t>Відповідь на реальний коментар («боюся навіть питатись, скільки це…» або «Яка вартість…»). Три вироби від доступного до преміум з ціною на екрані. Закриваємо найчастіше питання і пошуковий запит.</t>
        </is>
      </c>
      <c r="I11" s="25" t="inlineStr">
        <is>
          <t>Картка коментаря на екрані.
Текст: «Відповідаю чесно 👇»</t>
        </is>
      </c>
      <c r="J11" s="25" t="inlineStr">
        <is>
          <t>0–2 с — картка коментаря (функція «Відповісти відео»)
2–6 с — кулон у долоні, ціна на екрані (від 150 ₴)
6–10 с — браслет на зап’ясті, ціна (від 800 ₴)
10–15 с — картина: «від [__] ₴ або під замовлення»
15–18 с — «Ціна залежить від: розміру · прозорості · обробки»</t>
        </is>
      </c>
      <c r="K11" s="25" t="inlineStr">
        <is>
          <t>18–22 с</t>
        </is>
      </c>
      <c r="L11" s="25" t="inlineStr">
        <is>
          <t>Голос майстра або консультанта + субтитри; фраза «скільки коштує бурштин» звучить уголос</t>
        </is>
      </c>
      <c r="M11" s="25" t="inlineStr">
        <is>
          <t>Скільки коштує бурштин? Від 150 ₴ до … #ambergalbin #скількикоштуєбурштин #бурштин #прикраси</t>
        </is>
      </c>
      <c r="N11" s="25" t="inlineStr">
        <is>
          <t>Каталог із цінами — посилання в профілі. Питайте ціну будь-якого виробу тут 👇</t>
        </is>
      </c>
      <c r="O11" s="25" t="inlineStr">
        <is>
          <t>Знімаємо ціновий бар’єр: під кожним референсом питають ціну. Ловимо пошуковий трафік і ведемо в каталог.</t>
        </is>
      </c>
      <c r="P11" s="25" t="inlineStr">
        <is>
          <t>≥4 тис. переглядів, перегляди профілю ≥4%</t>
        </is>
      </c>
      <c r="Q11" s="25" t="inlineStr">
        <is>
          <t>Коментарі під «Картину з бурштину — ефект вау» і «З камінням: необроблений бурштин»</t>
        </is>
      </c>
      <c r="R11" s="25" t="inlineStr">
        <is>
          <t>3 вироби, актуальні ціни від клієнта, реальний коментар для відповіді. Ціни 150/800 ₴ — з сайту, перевірити</t>
        </is>
      </c>
      <c r="S11" s="25" t="inlineStr">
        <is>
          <t>Ідея</t>
        </is>
      </c>
      <c r="T11" s="25" t="inlineStr"/>
    </row>
    <row r="12" ht="99.34999999999999" customHeight="1">
      <c r="A12" s="23" t="inlineStr">
        <is>
          <t>8 ↑</t>
        </is>
      </c>
      <c r="B12" s="24" t="n">
        <v>46313</v>
      </c>
      <c r="C12" s="25" t="inlineStr">
        <is>
          <t>Нд</t>
        </is>
      </c>
      <c r="D12" s="25" t="inlineStr">
        <is>
          <t>11:00</t>
        </is>
      </c>
      <c r="E12" s="25" t="inlineStr">
        <is>
          <t>🔥 Вау-масштаб</t>
        </is>
      </c>
      <c r="F12" s="26" t="inlineStr">
        <is>
          <t>День апостола Луки: ікона з бурштину</t>
        </is>
      </c>
      <c r="G12" s="27" t="inlineStr">
        <is>
          <t>⛪ Апостола Луки — 18.10</t>
        </is>
      </c>
      <c r="H12" s="25" t="inlineStr">
        <is>
          <t>За переданням апостол Лука написав першу ікону Богородиці — тому він покровитель іконописців. У його день показуємо велику ікону з бурштину: майстер піднімає її зі столу, камера наближається до лику і переливів на світлі.</t>
        </is>
      </c>
      <c r="I12" s="25" t="inlineStr">
        <is>
          <t>Майстер обережно піднімає зі столу велику ікону, світло з вікна запалює бурштин.
Текст: «Ікона, складена з бурштину»</t>
        </is>
      </c>
      <c r="J12" s="25" t="inlineStr">
        <is>
          <t>0–2 с — підйом ікони зі столу (як в «Орлі»)
2–5 с — майстер тримає ікону перед собою, видно масштаб
5–10 с — макро: лик, німб, переливи на світлі, повільний рух камери
10–13 с — ікона на підставці, текст «18.10 — день апостола Луки, покровителя іконописців»</t>
        </is>
      </c>
      <c r="K12" s="25" t="inlineStr">
        <is>
          <t>12–14 с</t>
        </is>
      </c>
      <c r="L12" s="25" t="inlineStr">
        <is>
          <t>Тиха хорова або інструментальна музика, без голосу</t>
        </is>
      </c>
      <c r="M12" s="25" t="inlineStr">
        <is>
          <t>Сьогодні день апостола Луки — покровителя іконописців 🙏 Ікона з українського бурштину #ambergalbin #іконазбурштину #бурштин #рівне</t>
        </is>
      </c>
      <c r="N12" s="25" t="inlineStr">
        <is>
          <t>Ікони під замовлення, зокрема іменні, — від [__] ₴, виготовлення [__] днів. Деталі — в Direct</t>
        </is>
      </c>
      <c r="O12" s="25" t="inlineStr">
        <is>
          <t>Вау-формат рекорду («Орел», 152,4 тис.) на найдорожчій категорії — іконах — у церковний привід. Готує ґрунт для іменних ікон (№11) і подарункового сезону.</t>
        </is>
      </c>
      <c r="P12" s="25" t="inlineStr">
        <is>
          <t>≥15 тис. переглядів, збереження ≥1%, поширення ≥0,4%</t>
        </is>
      </c>
      <c r="Q12" s="25" t="inlineStr">
        <is>
          <t>«Картину з бурштину — ефект вау»</t>
        </is>
      </c>
      <c r="R12" s="25" t="inlineStr">
        <is>
          <t>Велика ікона з бурштину, майстер у кадрі, денне світло. Ціни і терміни — від клієнта. Тон шанобливий, без жартів</t>
        </is>
      </c>
      <c r="S12" s="25" t="inlineStr">
        <is>
          <t>Ідея</t>
        </is>
      </c>
      <c r="T12" s="25" t="inlineStr"/>
    </row>
    <row r="13" ht="125.45" customHeight="1">
      <c r="A13" s="23" t="inlineStr">
        <is>
          <t>9 ↑</t>
        </is>
      </c>
      <c r="B13" s="24" t="n">
        <v>46314</v>
      </c>
      <c r="C13" s="25" t="inlineStr">
        <is>
          <t>Пн</t>
        </is>
      </c>
      <c r="D13" s="25" t="inlineStr">
        <is>
          <t>09:00</t>
        </is>
      </c>
      <c r="E13" s="25" t="inlineStr">
        <is>
          <t>🪨 Камінь у руках</t>
        </is>
      </c>
      <c r="F13" s="26" t="inlineStr">
        <is>
          <t>Справжній чи підробка? Тест солоною водою</t>
        </is>
      </c>
      <c r="G13" s="27">
        <f>IFERROR(VLOOKUP(B13,'Свята'!$A$5:$D$60,2,FALSE),"")</f>
        <v/>
      </c>
      <c r="H13" s="25" t="inlineStr">
        <is>
          <t>Простий домашній тест: у насиченому розчині солі справжній бурштин спливає, а скло і більшість пластиків тонуть. Порівнюємо справжню намистину зі скляною підробкою. Чесно кажемо, що це перший фільтр, а не гарантія: копал і деякі пластики теж спливають.</t>
        </is>
      </c>
      <c r="I13" s="25" t="inlineStr">
        <is>
          <t>Дві схожі намистини над склянкою.
Текст: «Одна з них — підробка. Яка?»</t>
        </is>
      </c>
      <c r="J13" s="25" t="inlineStr">
        <is>
          <t>0–2 с — хук
2–5 с — сіль сиплеться у воду, розмішування (прискорено)
5–9 с — кидаємо обидві: одна спливає, інша тоне
9–12 с — текст «Бурштин спливає, скло тоне», намистина в долоні
12–14 с — текст «Це перший фільтр. 100% — лише експертиза»</t>
        </is>
      </c>
      <c r="K13" s="25" t="inlineStr">
        <is>
          <t>13 с</t>
        </is>
      </c>
      <c r="L13" s="25" t="inlineStr">
        <is>
          <t>Трек з паузою-інтригою + звук «бульк»</t>
        </is>
      </c>
      <c r="M13" s="25" t="inlineStr">
        <is>
          <t>Як перевірити бурштин удома 🔍 #ambergalbin #якперевіритибурштин #справжнійбурштин #бурштин</t>
        </is>
      </c>
      <c r="N13" s="25" t="inlineStr">
        <is>
          <t>Важливо: тест відсіює скло і більшість пластиків, але не копал. Ще способи перевірки? Пишіть «+» — знімемо частину 2</t>
        </is>
      </c>
      <c r="O13" s="25" t="inlineStr">
        <is>
          <t>Корисне відео: збереження і поширення, пошуковий трафік надовго, експертність виробника.</t>
        </is>
      </c>
      <c r="P13" s="25" t="inlineStr">
        <is>
          <t>≥10 тис. переглядів, збереження ≥1,5%</t>
        </is>
      </c>
      <c r="Q13" s="25" t="inlineStr">
        <is>
          <t>«З камінням: необроблений бурштин»</t>
        </is>
      </c>
      <c r="R13" s="25" t="inlineStr">
        <is>
          <t>Справжня намистина + скляна підробка (не пластик: деякі пластики спливають), сіль, прозора склянка. Формулювання погодити з майстром</t>
        </is>
      </c>
      <c r="S13" s="25" t="inlineStr">
        <is>
          <t>Ідея</t>
        </is>
      </c>
      <c r="T13" s="25" t="inlineStr"/>
    </row>
    <row r="14" ht="125.45" customHeight="1">
      <c r="A14" s="23" t="inlineStr">
        <is>
          <t>10 ↑</t>
        </is>
      </c>
      <c r="B14" s="24" t="n">
        <v>46316</v>
      </c>
      <c r="C14" s="25" t="inlineStr">
        <is>
          <t>Ср</t>
        </is>
      </c>
      <c r="D14" s="25" t="inlineStr">
        <is>
          <t>21:00</t>
        </is>
      </c>
      <c r="E14" s="25" t="inlineStr">
        <is>
          <t>🔨 Як це зроблено</t>
        </is>
      </c>
      <c r="F14" s="26" t="inlineStr">
        <is>
          <t>Один день на виробництві за 20 секунд</t>
        </is>
      </c>
      <c r="G14" s="27">
        <f>IFERROR(VLOOKUP(B14,'Свята'!$A$5:$D$60,2,FALSE),"")</f>
        <v/>
      </c>
      <c r="H14" s="25" t="inlineStr">
        <is>
          <t>Таймкоди дня: від відкриття до відправки замовлення. Швидкі кадри, живий звук, обличчя команди.</t>
        </is>
      </c>
      <c r="I14" s="25" t="inlineStr">
        <is>
          <t>Відчиняються двері майстерні, вмикається світло.
Текст: «Один день на виробництві бурштину»</t>
        </is>
      </c>
      <c r="J14" s="25" t="inlineStr">
        <is>
          <t>0–2 с — 08:00 відкриття, світло
2–6 с — 09:00 сортування сирцю
6–11 с — 11:00 майстри за верстатами (3 короткі кадри)
11–15 с — 14:00 полірування, збирання прикрас
15–19 с — 17:00 пакування замовлення, коробка з лого
19–20 с — майстер махає в камеру / вимикає світло</t>
        </is>
      </c>
      <c r="K14" s="25" t="inlineStr">
        <is>
          <t>18–22 с</t>
        </is>
      </c>
      <c r="L14" s="25" t="inlineStr">
        <is>
          <t>Трек із ритмом + живі звуки; таймкоди на екрані</t>
        </is>
      </c>
      <c r="M14" s="25" t="inlineStr">
        <is>
          <t>Так виглядає наш день 🛠 #ambergalbin #виробництво #деньмайстра #бурштин</t>
        </is>
      </c>
      <c r="N14" s="25" t="inlineStr">
        <is>
          <t>Про що зняти наступне відео? Пишіть 👇</t>
        </is>
      </c>
      <c r="O14" s="25" t="inlineStr">
        <is>
          <t>Обличчя бренду і довіра (видобувник → виробник → магазин), ріст підписок. Тест довшого формату — гіпотеза з чернетки.</t>
        </is>
      </c>
      <c r="P14" s="25" t="inlineStr">
        <is>
          <t>≥5 тис. переглядів, ≥15 нових підписників</t>
        </is>
      </c>
      <c r="Q14" s="25" t="inlineStr">
        <is>
          <t>«Один день на виробництві»</t>
        </is>
      </c>
      <c r="R14" s="25" t="inlineStr">
        <is>
          <t>Знімальний день у майстерні, згода команди на зйомку</t>
        </is>
      </c>
      <c r="S14" s="25" t="inlineStr">
        <is>
          <t>Ідея</t>
        </is>
      </c>
      <c r="T14" s="25" t="inlineStr"/>
    </row>
    <row r="15" ht="125.45" customHeight="1">
      <c r="A15" s="23" t="inlineStr">
        <is>
          <t>11 ↑</t>
        </is>
      </c>
      <c r="B15" s="24" t="n">
        <v>46318</v>
      </c>
      <c r="C15" s="25" t="inlineStr">
        <is>
          <t>Пт</t>
        </is>
      </c>
      <c r="D15" s="25" t="inlineStr">
        <is>
          <t>21:00</t>
        </is>
      </c>
      <c r="E15" s="25" t="inlineStr">
        <is>
          <t>🎁 Річ у ділі</t>
        </is>
      </c>
      <c r="F15" s="26" t="inlineStr">
        <is>
          <t>День ангела Дмитра: іменна ікона в подарунок</t>
        </is>
      </c>
      <c r="G15" s="27" t="inlineStr">
        <is>
          <t>⛪ Св. Димитрія, іменини — 26.10</t>
        </is>
      </c>
      <c r="H15" s="25" t="inlineStr">
        <is>
          <t>26.10 — день великомученика Димитрія Солунського, іменини Дмитрів. Показуємо іменну ікону святого Димитрія з бурштину як подарунок на іменини — з ціною і терміном. Відео відкриває серію іменинних подарунків: далі Михайло (8.11), Катерина (24.11), Андрій (30.11), Варвара (4.12), Миколай (6.12), Анна (9.12).</t>
        </is>
      </c>
      <c r="I15" s="25" t="inlineStr">
        <is>
          <t>Руки кладуть іменну ікону в подарункову коробку.
Текст: «Є знайомий Дмитро? У понеділок — його іменини»</t>
        </is>
      </c>
      <c r="J15" s="25" t="inlineStr">
        <is>
          <t>0–2 с — хук: ікона в долонях над коробкою
2–7 с — ікона на світлі, макро лику й обладунків святого-воїна
7–11 с — ікона в коробці, стрічка, ціна на екрані
11–14 с — текст «Іменні ікони: Михайло, Андрій, Миколай — наступні»</t>
        </is>
      </c>
      <c r="K15" s="25" t="inlineStr">
        <is>
          <t>13–15 с</t>
        </is>
      </c>
      <c r="L15" s="25" t="inlineStr">
        <is>
          <t>Спокійний трек без голосу; субтитри</t>
        </is>
      </c>
      <c r="M15" s="25" t="inlineStr">
        <is>
          <t>26 жовтня — День ангела Дмитра 🙏 Іменна ікона з бурштину #ambergalbin #деньангела #іменнаікона #бурштин</t>
        </is>
      </c>
      <c r="N15" s="25" t="inlineStr">
        <is>
          <t>Іменна ікона — від [__] ₴, виготовлення [__] днів. Напишіть ім’я — підкажемо, чи встигнемо до іменин</t>
        </is>
      </c>
      <c r="O15" s="25" t="inlineStr">
        <is>
          <t>Продаж найдорожчої категорії в церковний привід і старт серії іменинних подарунків на листопад–грудень. Привчаємо замовляти заздалегідь.</t>
        </is>
      </c>
      <c r="P15" s="25" t="inlineStr">
        <is>
          <t>≥3 тис. переглядів, перегляди профілю ≥3%, запити в Direct</t>
        </is>
      </c>
      <c r="Q15" s="25" t="inlineStr">
        <is>
          <t>«Доміно з бурштину» (ціна одразу) + «Картину з бурштину — ефект вау» (макро на світлі)</t>
        </is>
      </c>
      <c r="R15" s="25" t="inlineStr">
        <is>
          <t>Іменна ікона св. Димитрія (у наявності або зразок), подарункова упаковка, ціни і терміни від клієнта</t>
        </is>
      </c>
      <c r="S15" s="25" t="inlineStr">
        <is>
          <t>Ідея</t>
        </is>
      </c>
      <c r="T15" s="25" t="inlineStr"/>
    </row>
    <row r="16" ht="73.25" customHeight="1">
      <c r="A16" s="23" t="inlineStr">
        <is>
          <t>12 ↑</t>
        </is>
      </c>
      <c r="B16" s="24" t="n">
        <v>46320</v>
      </c>
      <c r="C16" s="25" t="inlineStr">
        <is>
          <t>Нд</t>
        </is>
      </c>
      <c r="D16" s="25" t="inlineStr">
        <is>
          <t>11:00</t>
        </is>
      </c>
      <c r="E16" s="25" t="inlineStr">
        <is>
          <t>🔥 Вау-масштаб</t>
        </is>
      </c>
      <c r="F16" s="26" t="inlineStr">
        <is>
          <t>Шахи з бурштину: розставляємо партію</t>
        </is>
      </c>
      <c r="G16" s="27">
        <f>IFERROR(VLOOKUP(B16,'Свята'!$A$5:$D$60,2,FALSE),"")</f>
        <v/>
      </c>
      <c r="H16" s="25" t="inlineStr">
        <is>
          <t>Сатисфайінг-розстановка: руки швидко ставлять фігури на дошку, кожна — в біт. Фінал — повна дошка зверху і король крупно на світлі.</t>
        </is>
      </c>
      <c r="I16" s="25" t="inlineStr">
        <is>
          <t>Король із бурштину ставиться в центр кадру з гучним «тук».
Текст: «Шахи, які не соромно поставити в кабінеті»</t>
        </is>
      </c>
      <c r="J16" s="25" t="inlineStr">
        <is>
          <t>0–1 с — король на дошці крупно
1–8 с — прискорена розстановка, кожна фігура в біт
8–12 с — макро фігур на світлі (ферзь, кінь)
12–15 с — кадр зверху: повна дошка, лого</t>
        </is>
      </c>
      <c r="K16" s="25" t="inlineStr">
        <is>
          <t>15 с</t>
        </is>
      </c>
      <c r="L16" s="25" t="inlineStr">
        <is>
          <t>Ритмічний трек, «тук» кожної фігури в біт</t>
        </is>
      </c>
      <c r="M16" s="25" t="inlineStr">
        <is>
          <t>Партія в бурштині ♟️ #ambergalbin #шахи #бурштин #подарунокчоловікові</t>
        </is>
      </c>
      <c r="N16" s="25" t="inlineStr">
        <is>
          <t>Ціна — [__] ₴. Нарди й доміно теж є — посилання в профілі</t>
        </is>
      </c>
      <c r="O16" s="25" t="inlineStr">
        <is>
          <t>Охоплення + чоловіча аудиторія; підготовка до подарункового сезону (Михайло 8.11, Миколай 6.12). 24.10 — Дмитрівська поминальна субота, тож у суботу нічого не публікуємо.</t>
        </is>
      </c>
      <c r="P16" s="25" t="inlineStr">
        <is>
          <t>≥10 тис. переглядів, збереження ≥1%</t>
        </is>
      </c>
      <c r="Q16" s="25" t="inlineStr">
        <is>
          <t>«Картину з бурштину — ефект вау» (масштаб, деталі)</t>
        </is>
      </c>
      <c r="R16" s="25" t="inlineStr">
        <is>
          <t>Шахи, дошка, штатив зверху, ціна</t>
        </is>
      </c>
      <c r="S16" s="25" t="inlineStr">
        <is>
          <t>Ідея</t>
        </is>
      </c>
      <c r="T16" s="25" t="inlineStr"/>
    </row>
    <row r="17" ht="60.2" customHeight="1">
      <c r="A17" s="23" t="inlineStr">
        <is>
          <t>13 ↑</t>
        </is>
      </c>
      <c r="B17" s="24" t="n">
        <v>46321</v>
      </c>
      <c r="C17" s="25" t="inlineStr">
        <is>
          <t>Пн</t>
        </is>
      </c>
      <c r="D17" s="25" t="inlineStr">
        <is>
          <t>09:00</t>
        </is>
      </c>
      <c r="E17" s="25" t="inlineStr">
        <is>
          <t>🪨 Камінь у руках</t>
        </is>
      </c>
      <c r="F17" s="26" t="inlineStr">
        <is>
          <t>Світлий чи темний? Обирайте</t>
        </is>
      </c>
      <c r="G17" s="27">
        <f>IFERROR(VLOOKUP(B17,'Свята'!$A$5:$D$60,2,FALSE),"")</f>
        <v/>
      </c>
      <c r="H17" s="25" t="inlineStr">
        <is>
          <t>Руки сортують сирець на дві купки — світлий і темний. Глядач обирає свій колір одним словом у коментарях.</t>
        </is>
      </c>
      <c r="I17" s="25" t="inlineStr">
        <is>
          <t>Два камені — світлий і темний — у двох долонях перед камерою.
Текст: «Світлий чи темний? Обирайте 👇»</t>
        </is>
      </c>
      <c r="J17" s="25" t="inlineStr">
        <is>
          <t>0–2 с — дві долоні, два камені
2–8 с — швидке сортування на дві купки під біт
8–11 с — обидві купки на світлі, крупно
11–12 с — знову дві долоні → петля</t>
        </is>
      </c>
      <c r="K17" s="25" t="inlineStr">
        <is>
          <t>12 с</t>
        </is>
      </c>
      <c r="L17" s="25" t="inlineStr">
        <is>
          <t>Ритмічний трек, стук каміння в біт</t>
        </is>
      </c>
      <c r="M17" s="25" t="inlineStr">
        <is>
          <t>Команда світлого чи темного? #ambergalbin #бурштин #сирець #рівне</t>
        </is>
      </c>
      <c r="N17" s="25" t="inlineStr">
        <is>
          <t>Прикраси обох кольорів — посилання в профілі</t>
        </is>
      </c>
      <c r="O17" s="25" t="inlineStr">
        <is>
          <t>Легкий вхід у коментарі (одне слово) → активність і охоплення. Дізнаємось, який колір цікавіший, для майбутніх добірок.</t>
        </is>
      </c>
      <c r="P17" s="25" t="inlineStr">
        <is>
          <t>≥8 тис. переглядів, ≥40 коментарів</t>
        </is>
      </c>
      <c r="Q17" s="25" t="inlineStr">
        <is>
          <t>«З камінням: необроблений бурштин»</t>
        </is>
      </c>
      <c r="R17" s="25" t="inlineStr">
        <is>
          <t>Сирець різного кольору, світлий фон</t>
        </is>
      </c>
      <c r="S17" s="25" t="inlineStr">
        <is>
          <t>Ідея</t>
        </is>
      </c>
      <c r="T17" s="25" t="inlineStr"/>
    </row>
    <row r="18" ht="86.3" customHeight="1">
      <c r="A18" s="23" t="inlineStr">
        <is>
          <t>14 ↑</t>
        </is>
      </c>
      <c r="B18" s="24" t="n">
        <v>46323</v>
      </c>
      <c r="C18" s="25" t="inlineStr">
        <is>
          <t>Ср</t>
        </is>
      </c>
      <c r="D18" s="25" t="inlineStr">
        <is>
          <t>21:00</t>
        </is>
      </c>
      <c r="E18" s="25" t="inlineStr">
        <is>
          <t>🔨 Як це зроблено</t>
        </is>
      </c>
      <c r="F18" s="26" t="inlineStr">
        <is>
          <t>До і після полірування</t>
        </is>
      </c>
      <c r="G18" s="27">
        <f>IFERROR(VLOOKUP(B18,'Свята'!$A$5:$D$60,2,FALSE),"")</f>
        <v/>
      </c>
      <c r="H18" s="25" t="inlineStr">
        <is>
          <t>Один камінь у двох станах: матовий сирець → змах руки → уже блищить. 2–3 такі пари на різних виробах, потім процес полірування.</t>
        </is>
      </c>
      <c r="I18" s="25" t="inlineStr">
        <is>
          <t>Матовий камінь, схожий на звичайну гальку.
Текст: «Виглядає як звичайна галька…»</t>
        </is>
      </c>
      <c r="J18" s="25" t="inlineStr">
        <is>
          <t>0–2 с — матовий камінь крупно
2–3 с — змах руки → перехід на полірований
3–9 с — ще 2 пари «до/після» (намистина, кулон)
9–13 с — полірування на кругу, відблиски
13–15 с — готові вироби поруч</t>
        </is>
      </c>
      <c r="K18" s="25" t="inlineStr">
        <is>
          <t>15 с</t>
        </is>
      </c>
      <c r="L18" s="25" t="inlineStr">
        <is>
          <t>Трек із «дропом» на моменті переходу</t>
        </is>
      </c>
      <c r="M18" s="25" t="inlineStr">
        <is>
          <t>Різниця, яку робить майстер ✨ #ambergalbin #доіпісля #бурштин #ручнаробота</t>
        </is>
      </c>
      <c r="N18" s="25" t="inlineStr">
        <is>
          <t>Поліровані й шліфовані вироби — в каталозі</t>
        </is>
      </c>
      <c r="O18" s="25" t="inlineStr">
        <is>
          <t>Вау-трансформація тримає увагу до кінця і пояснює цінність ручної роботи. Тема нейтральна для пам’ятного дня 28.10.</t>
        </is>
      </c>
      <c r="P18" s="25" t="inlineStr">
        <is>
          <t>≥6 тис. переглядів, середній час ≥60%</t>
        </is>
      </c>
      <c r="Q18" s="25" t="inlineStr">
        <is>
          <t>«Один день на виробництві»</t>
        </is>
      </c>
      <c r="R18" s="25" t="inlineStr">
        <is>
          <t>3 пари «сирець / готовий виріб», поліровальний круг</t>
        </is>
      </c>
      <c r="S18" s="25" t="inlineStr">
        <is>
          <t>Ідея</t>
        </is>
      </c>
      <c r="T18" s="25" t="inlineStr"/>
    </row>
    <row r="19" ht="99.34999999999999" customHeight="1">
      <c r="A19" s="23" t="inlineStr">
        <is>
          <t>15 ↑</t>
        </is>
      </c>
      <c r="B19" s="24" t="n">
        <v>46325</v>
      </c>
      <c r="C19" s="25" t="inlineStr">
        <is>
          <t>Пт</t>
        </is>
      </c>
      <c r="D19" s="25" t="inlineStr">
        <is>
          <t>21:00</t>
        </is>
      </c>
      <c r="E19" s="25" t="inlineStr">
        <is>
          <t>🎁 Річ у ділі</t>
        </is>
      </c>
      <c r="F19" s="26" t="inlineStr">
        <is>
          <t>Подарунок чоловікові: 3 ідеї до Михайла і Миколая</t>
        </is>
      </c>
      <c r="G19" s="27" t="inlineStr">
        <is>
          <t>⛪ Михайла 8.11 · 🎁 Миколая 6.12 — анонс</t>
        </is>
      </c>
      <c r="H19" s="25" t="inlineStr">
        <is>
          <t>Старт подарункового сезону: 8.11 — іменини Михайлів, 6.12 — Миколая. Три вироби для чоловіка з цінами: нарди, доміно, статуетка. Доміно повертається в план у форматі живої гри.</t>
        </is>
      </c>
      <c r="I19" s="25" t="inlineStr">
        <is>
          <t>Руки ставлять перший виріб на стіл.
Текст: «Не знаєте, що подарувати чоловікові?»</t>
        </is>
      </c>
      <c r="J19" s="25" t="inlineStr">
        <is>
          <t>0–2 с — хук, перший виріб
2–7 с — нарди: відкриття, кидок кубиків, ціна
7–12 с — доміно: кісточки з гуркотом висипаються на стіл, ціна
12–17 с — статуетка на світлі, ціна
17–20 с — усі три разом, текст «Доставка по Україні»</t>
        </is>
      </c>
      <c r="K19" s="25" t="inlineStr">
        <is>
          <t>18–20 с</t>
        </is>
      </c>
      <c r="L19" s="25" t="inlineStr">
        <is>
          <t>Голос або текст + легкий трек; субтитри</t>
        </is>
      </c>
      <c r="M19" s="25" t="inlineStr">
        <is>
          <t>Подарунок, який запам’ятається 🎁 #ambergalbin #подарунокчоловікові #ідеяподарунка #бурштин</t>
        </is>
      </c>
      <c r="N19" s="25" t="inlineStr">
        <is>
          <t>Ціни: нарди [__] ₴, доміно [__] ₴, статуетка [__] ₴. Замовити до Михайла — до [__] (термін від клієнта)</t>
        </is>
      </c>
      <c r="O19" s="25" t="inlineStr">
        <is>
          <t>Прямі продажі чоловічій аудиторії (64%) і старт подарункового сезону на місяць раніше.</t>
        </is>
      </c>
      <c r="P19" s="25" t="inlineStr">
        <is>
          <t>≥4 тис. переглядів, перегляди профілю ≥4%</t>
        </is>
      </c>
      <c r="Q19" s="25" t="inlineStr">
        <is>
          <t>«Доміно з бурштину» + чернетка v2 (подарунок чоловікові)</t>
        </is>
      </c>
      <c r="R19" s="25" t="inlineStr">
        <is>
          <t>3 вироби, ціни, нейтральний стіл</t>
        </is>
      </c>
      <c r="S19" s="25" t="inlineStr">
        <is>
          <t>Ідея</t>
        </is>
      </c>
      <c r="T19" s="25" t="inlineStr"/>
    </row>
    <row r="20" ht="73.25" customHeight="1">
      <c r="A20" s="23" t="inlineStr">
        <is>
          <t>16 ↑</t>
        </is>
      </c>
      <c r="B20" s="24" t="n">
        <v>46326</v>
      </c>
      <c r="C20" s="25" t="inlineStr">
        <is>
          <t>Сб</t>
        </is>
      </c>
      <c r="D20" s="25" t="inlineStr">
        <is>
          <t>11:00</t>
        </is>
      </c>
      <c r="E20" s="25" t="inlineStr">
        <is>
          <t>🔥 Вау-масштаб</t>
        </is>
      </c>
      <c r="F20" s="26" t="inlineStr">
        <is>
          <t>Застиглі навіки: інклюзи в бурштині</t>
        </is>
      </c>
      <c r="G20" s="27">
        <f>IFERROR(VLOOKUP(B20,'Свята'!$A$5:$D$60,2,FALSE),"")</f>
        <v/>
      </c>
      <c r="H20" s="25" t="inlineStr">
        <is>
          <t>Макро найефектніших інклюзів (комахи, павуки, рослини) у темряві з ліхтариком. Закриваємо місяць вау-форматом. Таємнича подача працює без прив’язки до Хелловіну.</t>
        </is>
      </c>
      <c r="I20" s="25" t="inlineStr">
        <is>
          <t>Темрява, за каменем вмикається ліхтарик — проступає силует комахи.
Текст: «Вони застигли тут задовго до людей…»</t>
        </is>
      </c>
      <c r="J20" s="25" t="inlineStr">
        <is>
          <t>0–2 с — хук у темряві
2–8 с — 3 інклюзи по черзі, макро з ліхтариком
8–11 с — найкращий, повільний наїзд
11–13 с — світло вмикається, камінь у долоні, текст «Їм десятки мільйонів років»</t>
        </is>
      </c>
      <c r="K20" s="25" t="inlineStr">
        <is>
          <t>13 с</t>
        </is>
      </c>
      <c r="L20" s="25" t="inlineStr">
        <is>
          <t>Таємничий трек</t>
        </is>
      </c>
      <c r="M20" s="25" t="inlineStr">
        <is>
          <t>Мешканці бурштину, яким десятки мільйонів років 🕷 #ambergalbin #інклюз #бурштин #рівне</t>
        </is>
      </c>
      <c r="N20" s="25" t="inlineStr">
        <is>
          <t>Камені з інклюзом — у розділі «Камінь» на сайті</t>
        </is>
      </c>
      <c r="O20" s="25" t="inlineStr">
        <is>
          <t>Охоплення на унікальному товарі (камінь з інклюзом). Вау-ефект без великих витрат.</t>
        </is>
      </c>
      <c r="P20" s="25" t="inlineStr">
        <is>
          <t>≥15 тис. переглядів, збереження ≥1%</t>
        </is>
      </c>
      <c r="Q20" s="25" t="inlineStr">
        <is>
          <t>«Картину з бурштину — ефект вау» (макро) + «З камінням: необроблений бурштин»</t>
        </is>
      </c>
      <c r="R20" s="25" t="inlineStr">
        <is>
          <t>3–4 камені з інклюзом, ліхтарик, макролінза, темне приміщення</t>
        </is>
      </c>
      <c r="S20" s="25" t="inlineStr">
        <is>
          <t>Ідея</t>
        </is>
      </c>
      <c r="T20" s="25" t="inlineStr"/>
    </row>
  </sheetData>
  <mergeCells count="2">
    <mergeCell ref="A1:T1"/>
    <mergeCell ref="A2:T2"/>
  </mergeCells>
  <conditionalFormatting sqref="E5:F20">
    <cfRule type="expression" priority="1" dxfId="0">
      <formula>ISNUMBER(SEARCH("Камінь у руках",$E5))</formula>
    </cfRule>
    <cfRule type="expression" priority="2" dxfId="1">
      <formula>ISNUMBER(SEARCH("Як це зроблено",$E5))</formula>
    </cfRule>
    <cfRule type="expression" priority="3" dxfId="2">
      <formula>ISNUMBER(SEARCH("Річ у ділі",$E5))</formula>
    </cfRule>
    <cfRule type="expression" priority="4" dxfId="3">
      <formula>ISNUMBER(SEARCH("Вау-масштаб",$E5))</formula>
    </cfRule>
  </conditionalFormatting>
  <conditionalFormatting sqref="S5:S40">
    <cfRule type="expression" priority="5" dxfId="4">
      <formula>$S5="Опубліковано"</formula>
    </cfRule>
  </conditionalFormatting>
  <dataValidations count="2">
    <dataValidation sqref="E5:E40" showDropDown="0" showInputMessage="0" showErrorMessage="0" allowBlank="1" type="list">
      <formula1>='Рубрики'!$B$5:$B$8</formula1>
    </dataValidation>
    <dataValidation sqref="S5:S40" showDropDown="0" showInputMessage="0" showErrorMessage="0" allowBlank="1" type="list">
      <formula1>"Ідея,Сценарій погоджено,Знято,Змонтовано,Опубліковано,Перенесено"</formula1>
    </dataValidation>
  </dataValidations>
  <hyperlinks>
    <hyperlink ref="A5" location="'Календар'!B9" tooltip="Назад у календар" display="1 ↑"/>
    <hyperlink ref="A6" location="'Календар'!D9" tooltip="Назад у календар" display="2 ↑"/>
    <hyperlink ref="A7" location="'Календар'!F9" tooltip="Назад у календар" display="3 ↑"/>
    <hyperlink ref="A8" location="'Календар'!H9" tooltip="Назад у календар" display="4 ↑"/>
    <hyperlink ref="A9" location="'Календар'!B12" tooltip="Назад у календар" display="5 ↑"/>
    <hyperlink ref="A10" location="'Календар'!D12" tooltip="Назад у календар" display="6 ↑"/>
    <hyperlink ref="A11" location="'Календар'!F12" tooltip="Назад у календар" display="7 ↑"/>
    <hyperlink ref="A12" location="'Календар'!H12" tooltip="Назад у календар" display="8 ↑"/>
    <hyperlink ref="A13" location="'Календар'!B15" tooltip="Назад у календар" display="9 ↑"/>
    <hyperlink ref="A14" location="'Календар'!D15" tooltip="Назад у календар" display="10 ↑"/>
    <hyperlink ref="A15" location="'Календар'!F15" tooltip="Назад у календар" display="11 ↑"/>
    <hyperlink ref="A16" location="'Календар'!H15" tooltip="Назад у календар" display="12 ↑"/>
    <hyperlink ref="A17" location="'Календар'!B18" tooltip="Назад у календар" display="13 ↑"/>
    <hyperlink ref="A18" location="'Календар'!D18" tooltip="Назад у календар" display="14 ↑"/>
    <hyperlink ref="A19" location="'Календар'!F18" tooltip="Назад у календар" display="15 ↑"/>
    <hyperlink ref="A20" location="'Календар'!G18" tooltip="Назад у календар" display="16 ↑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40" customWidth="1" min="4" max="4"/>
    <col width="40" customWidth="1" min="5" max="5"/>
    <col width="38" customWidth="1" min="6" max="6"/>
    <col width="24" customWidth="1" min="7" max="7"/>
    <col width="12" customWidth="1" min="8" max="8"/>
  </cols>
  <sheetData>
    <row r="1" ht="40" customHeight="1">
      <c r="A1" s="20" t="inlineStr">
        <is>
          <t>Рубрики і правила</t>
        </is>
      </c>
    </row>
    <row r="2" ht="44" customHeight="1">
      <c r="A2" s="21" t="inlineStr">
        <is>
          <t>На чому базується план: 3 референси з папки referens (статистика знята з екранних записів), звіт TikTok 22–28.09 з чернетки v2 (84,5% трафіку — «Для тебе», 5,9% — пошук; 64% підписників — чоловіки; найкраще відео вийшло о 9:12, пік активності підписників — близько опівночі) та каталог ambergalbin.store.</t>
        </is>
      </c>
    </row>
    <row r="4" ht="34" customHeight="1">
      <c r="A4" s="22" t="inlineStr"/>
      <c r="B4" s="22" t="inlineStr">
        <is>
          <t>Рубрика</t>
        </is>
      </c>
      <c r="C4" s="22" t="inlineStr">
        <is>
          <t>Слот</t>
        </is>
      </c>
      <c r="D4" s="22" t="inlineStr">
        <is>
          <t>Суть</t>
        </is>
      </c>
      <c r="E4" s="22" t="inlineStr">
        <is>
          <t>Референс і цифри</t>
        </is>
      </c>
      <c r="F4" s="22" t="inlineStr">
        <is>
          <t>Мета: що дає</t>
        </is>
      </c>
      <c r="G4" s="22" t="inlineStr">
        <is>
          <t>Інші KPI</t>
        </is>
      </c>
      <c r="H4" s="22" t="inlineStr">
        <is>
          <t>Ціль переглядів</t>
        </is>
      </c>
    </row>
    <row r="5" ht="60.2" customHeight="1">
      <c r="A5" s="25" t="n">
        <v>1</v>
      </c>
      <c r="B5" s="28" t="inlineStr">
        <is>
          <t>🪨 Камінь у руках</t>
        </is>
      </c>
      <c r="C5" s="25" t="inlineStr">
        <is>
          <t>Пн · 09:00</t>
        </is>
      </c>
      <c r="D5" s="25" t="inlineStr">
        <is>
          <t>Сирий бурштин крупно в руках і на світлі: сенсорика, живий звук, гра з глядачем (вгадай ціну, обери колір, перевір справжність).</t>
        </is>
      </c>
      <c r="E5" s="25" t="inlineStr">
        <is>
          <t>«З камінням: необроблений бурштин» — 27,6 тис. переглядів, 86 поширень; ASMR 25.09 — 12,2 тис., 71% утримання (звіт 22–28.09).</t>
        </is>
      </c>
      <c r="F5" s="25" t="inlineStr">
        <is>
          <t>Охоплення через «Для тебе» (84,5% трафіку), високе утримання, коментарі. Ранковий слот — найкраще відео вийшло о 9:12.</t>
        </is>
      </c>
      <c r="G5" s="25" t="inlineStr">
        <is>
          <t>Середній час перегляду ≥60%, коментарі ≥30</t>
        </is>
      </c>
      <c r="H5" s="29" t="n">
        <v>10000</v>
      </c>
    </row>
    <row r="6" ht="47.15" customHeight="1">
      <c r="A6" s="25" t="n">
        <v>2</v>
      </c>
      <c r="B6" s="30" t="inlineStr">
        <is>
          <t>🔨 Як це зроблено</t>
        </is>
      </c>
      <c r="C6" s="25" t="inlineStr">
        <is>
          <t>Ср · 21:00</t>
        </is>
      </c>
      <c r="D6" s="25" t="inlineStr">
        <is>
          <t>Швидкі кадри виробництва: від сирцю до готового виробу, руки майстрів, верстати, живий звук. Монтаж у ритм.</t>
        </is>
      </c>
      <c r="E6" s="25" t="inlineStr">
        <is>
          <t>«Один день на виробництві — швидкі кадри» + висновок звіту: нативні процеси без постановки — стабільно добрий формат.</t>
        </is>
      </c>
      <c r="F6" s="25" t="inlineStr">
        <is>
          <t>Довіра: бренд — видобувник і виробник, звідси ціни виробника. Ріст підписок, довгий хвіст переглядів.</t>
        </is>
      </c>
      <c r="G6" s="25" t="inlineStr">
        <is>
          <t>Нові підписники ≥15 з відео</t>
        </is>
      </c>
      <c r="H6" s="29" t="n">
        <v>5000</v>
      </c>
    </row>
    <row r="7" ht="60.2" customHeight="1">
      <c r="A7" s="25" t="n">
        <v>3</v>
      </c>
      <c r="B7" s="31" t="inlineStr">
        <is>
          <t>🎁 Річ у ділі</t>
        </is>
      </c>
      <c r="C7" s="25" t="inlineStr">
        <is>
          <t>Пт · 21:00</t>
        </is>
      </c>
      <c r="D7" s="25" t="inlineStr">
        <is>
          <t>Виріб у дії (грають, носять, перебирають) + ціна на екрані або в закріпленому коментарі. Сюди ж — відео-відповіді на коментарі про ціну.</t>
        </is>
      </c>
      <c r="E7" s="25" t="inlineStr">
        <is>
          <t>«Доміно з бурштину» — 2,7 тис., але ER 3,8% і питання «Можна ціну?». Слабкий хук (закрита коробка) і немає ціни — виправляємо.</t>
        </is>
      </c>
      <c r="F7" s="25" t="inlineStr">
        <is>
          <t>Продажі: перегляди профілю, переходи на сайт, звернення в Direct. Чоловіча аудиторія — 64% підписників.</t>
        </is>
      </c>
      <c r="G7" s="25" t="inlineStr">
        <is>
          <t>Перегляди профілю ≥3% від переглядів, запити ціни</t>
        </is>
      </c>
      <c r="H7" s="29" t="n">
        <v>3000</v>
      </c>
    </row>
    <row r="8" ht="47.15" customHeight="1">
      <c r="A8" s="25" t="n">
        <v>4</v>
      </c>
      <c r="B8" s="32" t="inlineStr">
        <is>
          <t>🔥 Вау-масштаб</t>
        </is>
      </c>
      <c r="C8" s="25" t="inlineStr">
        <is>
          <t>Нд · 11:00</t>
        </is>
      </c>
      <c r="D8" s="25" t="inlineStr">
        <is>
          <t>Великий або несподіваний виріб: майстер піднімає/розкриває його в кадрі, макро деталей на світлі. Серія «Ламаємо стереотипи».</t>
        </is>
      </c>
      <c r="E8" s="25" t="inlineStr">
        <is>
          <t>«Картину з бурштину — ефект вау» — 152,4 тис. переглядів, 9 083 вподобання, 512 збережень, 733 поширення. Рекорд акаунту.</t>
        </is>
      </c>
      <c r="F8" s="25" t="inlineStr">
        <is>
          <t>Віральне охоплення, поширення і збереження, впізнаваність бренду. Вихідний денний слот — тест.</t>
        </is>
      </c>
      <c r="G8" s="25" t="inlineStr">
        <is>
          <t>Поширення ≥0,4% від переглядів</t>
        </is>
      </c>
      <c r="H8" s="29" t="n">
        <v>20000</v>
      </c>
    </row>
    <row r="10">
      <c r="B10" s="33" t="inlineStr">
        <is>
          <t>Правила для всіх відео</t>
        </is>
      </c>
    </row>
    <row r="11" ht="26" customHeight="1">
      <c r="A11" s="34" t="n">
        <v>1</v>
      </c>
      <c r="B11" s="35" t="inlineStr">
        <is>
          <t>Вертикаль 9:16, знімаємо нативно на телефон — без «рекламного» лиску (див. «Доміно»).</t>
        </is>
      </c>
    </row>
    <row r="12" ht="26" customHeight="1">
      <c r="A12" s="34" t="n">
        <v>2</v>
      </c>
      <c r="B12" s="35" t="inlineStr">
        <is>
          <t>Перші 1–2 секунди — дія, звук або питання. Жодних заставок і логотипів на старті.</t>
        </is>
      </c>
    </row>
    <row r="13" ht="26" customHeight="1">
      <c r="A13" s="34" t="n">
        <v>3</v>
      </c>
      <c r="B13" s="35" t="inlineStr">
        <is>
          <t>Текст на екрані — до 7 слів, у безпечній зоні (не під кнопками і підписом TikTok).</t>
        </is>
      </c>
    </row>
    <row r="14" ht="26" customHeight="1">
      <c r="A14" s="34" t="n">
        <v>4</v>
      </c>
      <c r="B14" s="35" t="inlineStr">
        <is>
          <t>Ціна — на екрані або в закріпленому коментарі: під кожним референсом питають ціну.</t>
        </is>
      </c>
    </row>
    <row r="15" ht="26" customHeight="1">
      <c r="A15" s="34" t="n">
        <v>5</v>
      </c>
      <c r="B15" s="35" t="inlineStr">
        <is>
          <t>Перша година після публікації — відповідаємо на всі коментарі; найкращі питання стають відео-відповідями.</t>
        </is>
      </c>
    </row>
    <row r="16" ht="26" customHeight="1">
      <c r="A16" s="34" t="n">
        <v>6</v>
      </c>
      <c r="B16" s="35" t="inlineStr">
        <is>
          <t>3–5 хештегів: #ambergalbin + 1–2 тематичні + 1–2 пошукові. Геотег «Рівне» — на кожному відео.</t>
        </is>
      </c>
    </row>
    <row r="17" ht="26" customHeight="1">
      <c r="A17" s="34" t="n">
        <v>7</v>
      </c>
      <c r="B17" s="35" t="inlineStr">
        <is>
          <t>Зациклення: останній кадр повторює перший — це дає повторні перегляди.</t>
        </is>
      </c>
    </row>
    <row r="18" ht="26" customHeight="1">
      <c r="A18" s="34" t="n">
        <v>8</v>
      </c>
      <c r="B18" s="35" t="inlineStr">
        <is>
          <t>Через 24–48 год вносимо цифри у вкладку «Заміри». Щоп’ятниці вирішуємо, що повторюємо, а що змінюємо.</t>
        </is>
      </c>
    </row>
    <row r="19" ht="26" customHeight="1">
      <c r="A19" s="34" t="n">
        <v>9</v>
      </c>
      <c r="B19" s="35" t="inlineStr">
        <is>
          <t>Факти (вік бурштину, тести, ціни, кількість шматочків) підтверджуємо з майстром до публікації. Поля [__] заповнює клієнт.</t>
        </is>
      </c>
    </row>
  </sheetData>
  <mergeCells count="11">
    <mergeCell ref="B16:G16"/>
    <mergeCell ref="B19:G19"/>
    <mergeCell ref="B14:G14"/>
    <mergeCell ref="A2:H2"/>
    <mergeCell ref="B17:G17"/>
    <mergeCell ref="B12:G12"/>
    <mergeCell ref="B13:G13"/>
    <mergeCell ref="A1:H1"/>
    <mergeCell ref="B18:G18"/>
    <mergeCell ref="B15:G15"/>
    <mergeCell ref="B11:G1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24" customWidth="1" min="4" max="4"/>
    <col width="52" customWidth="1" min="5" max="5"/>
    <col width="14" customWidth="1" min="6" max="6"/>
  </cols>
  <sheetData>
    <row r="1" ht="40" customHeight="1">
      <c r="A1" s="20" t="inlineStr">
        <is>
          <t>Свята жовтень–грудень 2026</t>
        </is>
      </c>
    </row>
    <row r="2" ht="44" customHeight="1">
      <c r="A2" s="21" t="inlineStr">
        <is>
          <t>Критерій: церковні свята (за новим календарем ПЦУ та УГКЦ), загальнодержавні дати і професійні дні платоспроможних професій — юристи, прокурори, адвокати, аграрний бізнес, енергетики, дипломати. Пам’ятні дати — без продажних акцентів. Дати перевірені на 2026 рік. Календар бере коротку назву з колонки D за датою: додайте рядок — і свято з’явиться в календарі (одна дата — один рядок).</t>
        </is>
      </c>
    </row>
    <row r="4" ht="34" customHeight="1">
      <c r="A4" s="22" t="inlineStr">
        <is>
          <t>Дата</t>
        </is>
      </c>
      <c r="B4" s="22" t="inlineStr">
        <is>
          <t>Свято / подія</t>
        </is>
      </c>
      <c r="C4" s="22" t="inlineStr">
        <is>
          <t>Тип</t>
        </is>
      </c>
      <c r="D4" s="22" t="inlineStr">
        <is>
          <t>Коротко для календаря</t>
        </is>
      </c>
      <c r="E4" s="22" t="inlineStr">
        <is>
          <t>Як використати в контенті</t>
        </is>
      </c>
      <c r="F4" s="22" t="inlineStr">
        <is>
          <t>Відео в плані</t>
        </is>
      </c>
    </row>
    <row r="5" ht="34.09999999999999" customHeight="1">
      <c r="A5" s="36" t="n">
        <v>46296</v>
      </c>
      <c r="B5" s="37" t="inlineStr">
        <is>
          <t>🇺🇦 Покрова Пресвятої Богородиці · День захисників і захисниць України</t>
        </is>
      </c>
      <c r="C5" s="25" t="inlineStr">
        <is>
          <t>Церковне · Державне</t>
        </is>
      </c>
      <c r="D5" s="25" t="inlineStr">
        <is>
          <t>🇺🇦 Покрова · День захисників</t>
        </is>
      </c>
      <c r="E5" s="25" t="inlineStr">
        <is>
          <t>Минуло до старту плану (05.10). Наступного року: ікони Богородиці, подяка захисникам — без прямого продажу.</t>
        </is>
      </c>
      <c r="F5" s="25" t="inlineStr">
        <is>
          <t>—</t>
        </is>
      </c>
    </row>
    <row r="6" ht="34.09999999999999" customHeight="1">
      <c r="A6" s="36" t="n">
        <v>46301</v>
      </c>
      <c r="B6" s="37" t="inlineStr">
        <is>
          <t>⛪ Апостола Фоми</t>
        </is>
      </c>
      <c r="C6" s="25" t="inlineStr">
        <is>
          <t>Церковне</t>
        </is>
      </c>
      <c r="D6" s="25" t="inlineStr">
        <is>
          <t>⛪ Ап. Фоми</t>
        </is>
      </c>
      <c r="E6" s="25" t="inlineStr">
        <is>
          <t>Мале свято, іменини Фом: згадка в описі, окремого відео не потрібно.</t>
        </is>
      </c>
      <c r="F6" s="25" t="inlineStr">
        <is>
          <t>—</t>
        </is>
      </c>
    </row>
    <row r="7" ht="34.09999999999999" customHeight="1">
      <c r="A7" s="36" t="n">
        <v>46303</v>
      </c>
      <c r="B7" s="37" t="inlineStr">
        <is>
          <t>⚖️ День юриста</t>
        </is>
      </c>
      <c r="C7" s="25" t="inlineStr">
        <is>
          <t>Професійне · високий чек</t>
        </is>
      </c>
      <c r="D7" s="25" t="inlineStr">
        <is>
          <t>⚖️ День юриста</t>
        </is>
      </c>
      <c r="E7" s="25" t="inlineStr">
        <is>
          <t>Юристи, адвокати, нотаріуси, судді: ділові подарунки для кабінету. Підбірку публікуємо напередодні, 07.10.</t>
        </is>
      </c>
      <c r="F7" s="25" t="inlineStr">
        <is>
          <t>№2</t>
        </is>
      </c>
    </row>
    <row r="8" ht="21.05" customHeight="1">
      <c r="A8" s="36" t="n">
        <v>46304</v>
      </c>
      <c r="B8" s="37" t="inlineStr">
        <is>
          <t>⛪ Апостола Якова Алфеєвого</t>
        </is>
      </c>
      <c r="C8" s="25" t="inlineStr">
        <is>
          <t>Церковне</t>
        </is>
      </c>
      <c r="D8" s="25" t="inlineStr">
        <is>
          <t>⛪ Ап. Якова</t>
        </is>
      </c>
      <c r="E8" s="25" t="inlineStr">
        <is>
          <t>Мале свято, іменини Яковів: згадка в описі.</t>
        </is>
      </c>
      <c r="F8" s="25" t="inlineStr">
        <is>
          <t>—</t>
        </is>
      </c>
    </row>
    <row r="9" ht="34.09999999999999" customHeight="1">
      <c r="A9" s="36" t="n">
        <v>46313</v>
      </c>
      <c r="B9" s="37" t="inlineStr">
        <is>
          <t>⛪ Апостола і євангеліста Луки</t>
        </is>
      </c>
      <c r="C9" s="25" t="inlineStr">
        <is>
          <t>Церковне</t>
        </is>
      </c>
      <c r="D9" s="25" t="inlineStr">
        <is>
          <t>⛪ Ап. Луки</t>
        </is>
      </c>
      <c r="E9" s="25" t="inlineStr">
        <is>
          <t>За переданням Лука написав першу ікону Богородиці — покровитель іконописців. Показуємо ікону з бурштину.</t>
        </is>
      </c>
      <c r="F9" s="25" t="inlineStr">
        <is>
          <t>№8</t>
        </is>
      </c>
    </row>
    <row r="10" ht="34.09999999999999" customHeight="1">
      <c r="A10" s="36" t="n">
        <v>46319</v>
      </c>
      <c r="B10" s="37" t="inlineStr">
        <is>
          <t>🕯 Дмитрівська поминальна субота</t>
        </is>
      </c>
      <c r="C10" s="25" t="inlineStr">
        <is>
          <t>Церковне · поминальне</t>
        </is>
      </c>
      <c r="D10" s="25" t="inlineStr">
        <is>
          <t>🕯 Дмитрівська субота</t>
        </is>
      </c>
      <c r="E10" s="25" t="inlineStr">
        <is>
          <t>Поминальний день: не публікуємо продажного контенту.</t>
        </is>
      </c>
      <c r="F10" s="25" t="inlineStr">
        <is>
          <t>—</t>
        </is>
      </c>
    </row>
    <row r="11" ht="34.09999999999999" customHeight="1">
      <c r="A11" s="36" t="n">
        <v>46321</v>
      </c>
      <c r="B11" s="37" t="inlineStr">
        <is>
          <t>⛪ Великомученика Димитрія Солунського</t>
        </is>
      </c>
      <c r="C11" s="25" t="inlineStr">
        <is>
          <t>Церковне</t>
        </is>
      </c>
      <c r="D11" s="25" t="inlineStr">
        <is>
          <t>⛪ Св. Димитрія · іменини</t>
        </is>
      </c>
      <c r="E11" s="25" t="inlineStr">
        <is>
          <t>Іменини Дмитрів: іменна ікона як подарунок. Відео — у п’ятницю 23.10, щоб встигли замовити.</t>
        </is>
      </c>
      <c r="F11" s="25" t="inlineStr">
        <is>
          <t>№11</t>
        </is>
      </c>
    </row>
    <row r="12" ht="34.09999999999999" customHeight="1">
      <c r="A12" s="36" t="n">
        <v>46323</v>
      </c>
      <c r="B12" s="37" t="inlineStr">
        <is>
          <t>🕯 День вигнання нацистських загарбників з України</t>
        </is>
      </c>
      <c r="C12" s="25" t="inlineStr">
        <is>
          <t>Пам’ятне · без продажів</t>
        </is>
      </c>
      <c r="D12" s="25" t="inlineStr">
        <is>
          <t>🕯 Пам’ятний день</t>
        </is>
      </c>
      <c r="E12" s="25" t="inlineStr">
        <is>
          <t>Без розважальних і продажних акцентів. Відео №14 нейтральне; за потреби перенести на 29.10.</t>
        </is>
      </c>
      <c r="F12" s="25" t="inlineStr">
        <is>
          <t>№14</t>
        </is>
      </c>
    </row>
    <row r="13" ht="34.09999999999999" customHeight="1">
      <c r="A13" s="36" t="n">
        <v>46334</v>
      </c>
      <c r="B13" s="37" t="inlineStr">
        <is>
          <t>⛪ Собор архистратига Михаїла</t>
        </is>
      </c>
      <c r="C13" s="25" t="inlineStr">
        <is>
          <t>Церковне</t>
        </is>
      </c>
      <c r="D13" s="25" t="inlineStr">
        <is>
          <t>⛪ Михайла · іменини</t>
        </is>
      </c>
      <c r="E13" s="25" t="inlineStr">
        <is>
          <t>Іменини Михайлів; архистратиг — покровитель Києва. Іменна ікона чи подарунок Михайлу — за 3–5 днів до свята.</t>
        </is>
      </c>
      <c r="F13" s="25" t="inlineStr">
        <is>
          <t>Листопад; анонс у №11, №15</t>
        </is>
      </c>
    </row>
    <row r="14" ht="34.09999999999999" customHeight="1">
      <c r="A14" s="36" t="n">
        <v>46335</v>
      </c>
      <c r="B14" s="37" t="inlineStr">
        <is>
          <t>🇺🇦 День української писемності та мови</t>
        </is>
      </c>
      <c r="C14" s="25" t="inlineStr">
        <is>
          <t>Державне</t>
        </is>
      </c>
      <c r="D14" s="25" t="inlineStr">
        <is>
          <t>🇺🇦 День писемності</t>
        </is>
      </c>
      <c r="E14" s="25" t="inlineStr">
        <is>
          <t>Письмові набори і ручки з бурштину, українське слово в текстах на екрані.</t>
        </is>
      </c>
      <c r="F14" s="25" t="inlineStr">
        <is>
          <t>Листопад</t>
        </is>
      </c>
    </row>
    <row r="15" ht="47.15" customHeight="1">
      <c r="A15" s="36" t="n">
        <v>46341</v>
      </c>
      <c r="B15" s="37" t="inlineStr">
        <is>
          <t>🌾 День працівників сільського господарства · початок Різдвяного посту</t>
        </is>
      </c>
      <c r="C15" s="25" t="inlineStr">
        <is>
          <t>Професійне · високий чек · Церковне</t>
        </is>
      </c>
      <c r="D15" s="25" t="inlineStr">
        <is>
          <t>🌾 День аграрія · піст</t>
        </is>
      </c>
      <c r="E15" s="25" t="inlineStr">
        <is>
          <t>Власники і керівники агробізнесу — платоспроможна аудиторія регіону: подарунки для кабінету, статуетки. З 15.11 до 24.12 — Різдвяний піст: тон стриманіший.</t>
        </is>
      </c>
      <c r="F15" s="25" t="inlineStr">
        <is>
          <t>Листопад</t>
        </is>
      </c>
    </row>
    <row r="16" ht="34.09999999999999" customHeight="1">
      <c r="A16" s="36" t="n">
        <v>46347</v>
      </c>
      <c r="B16" s="37" t="inlineStr">
        <is>
          <t>⛪ Введення в храм Пресвятої Богородиці · 🇺🇦 День Гідності та Свободи</t>
        </is>
      </c>
      <c r="C16" s="25" t="inlineStr">
        <is>
          <t>Церковне · Державне</t>
        </is>
      </c>
      <c r="D16" s="25" t="inlineStr">
        <is>
          <t>⛪ Введення · День Гідності</t>
        </is>
      </c>
      <c r="E16" s="25" t="inlineStr">
        <is>
          <t>Ікони Богородиці. Державна дата — урочисто, без продажних акцентів.</t>
        </is>
      </c>
      <c r="F16" s="25" t="inlineStr">
        <is>
          <t>Листопад</t>
        </is>
      </c>
    </row>
    <row r="17" ht="34.09999999999999" customHeight="1">
      <c r="A17" s="36" t="n">
        <v>46350</v>
      </c>
      <c r="B17" s="37" t="inlineStr">
        <is>
          <t>⛪ Великомучениці Катерини</t>
        </is>
      </c>
      <c r="C17" s="25" t="inlineStr">
        <is>
          <t>Церковне</t>
        </is>
      </c>
      <c r="D17" s="25" t="inlineStr">
        <is>
          <t>⛪ Катерини · іменини</t>
        </is>
      </c>
      <c r="E17" s="25" t="inlineStr">
        <is>
          <t>Іменини Катерин: прикраси й іменні ікони як жіночий подарунок.</t>
        </is>
      </c>
      <c r="F17" s="25" t="inlineStr">
        <is>
          <t>Листопад</t>
        </is>
      </c>
    </row>
    <row r="18" ht="34.09999999999999" customHeight="1">
      <c r="A18" s="36" t="n">
        <v>46354</v>
      </c>
      <c r="B18" s="37" t="inlineStr">
        <is>
          <t>🕯 День пам’яті жертв голодоморів</t>
        </is>
      </c>
      <c r="C18" s="25" t="inlineStr">
        <is>
          <t>Пам’ятне · без продажів</t>
        </is>
      </c>
      <c r="D18" s="25" t="inlineStr">
        <is>
          <t>🕯 Пам’ять жертв голодоморів</t>
        </is>
      </c>
      <c r="E18" s="25" t="inlineStr">
        <is>
          <t>Продажного контенту не публікуємо; за бажанням — лише вшанування.</t>
        </is>
      </c>
      <c r="F18" s="25" t="inlineStr">
        <is>
          <t>—</t>
        </is>
      </c>
    </row>
    <row r="19" ht="34.09999999999999" customHeight="1">
      <c r="A19" s="36" t="n">
        <v>46356</v>
      </c>
      <c r="B19" s="37" t="inlineStr">
        <is>
          <t>⛪ Апостола Андрія Первозванного · Андріївські вечорниці (29.11)</t>
        </is>
      </c>
      <c r="C19" s="25" t="inlineStr">
        <is>
          <t>Церковне</t>
        </is>
      </c>
      <c r="D19" s="25" t="inlineStr">
        <is>
          <t>⛪ Андрія · іменини</t>
        </is>
      </c>
      <c r="E19" s="25" t="inlineStr">
        <is>
          <t>Іменини Андріїв. Вечорниці — легкий традиційний контент: «ворожіння» на бурштині.</t>
        </is>
      </c>
      <c r="F19" s="25" t="inlineStr">
        <is>
          <t>Листопад</t>
        </is>
      </c>
    </row>
    <row r="20" ht="34.09999999999999" customHeight="1">
      <c r="A20" s="36" t="n">
        <v>46357</v>
      </c>
      <c r="B20" s="37" t="inlineStr">
        <is>
          <t>⚖️ День працівників прокуратури</t>
        </is>
      </c>
      <c r="C20" s="25" t="inlineStr">
        <is>
          <t>Професійне · високий чек</t>
        </is>
      </c>
      <c r="D20" s="25" t="inlineStr">
        <is>
          <t>⚖️ День прокуратури</t>
        </is>
      </c>
      <c r="E20" s="25" t="inlineStr">
        <is>
          <t>Ділові подарунки для кабінету (формат відео №2).</t>
        </is>
      </c>
      <c r="F20" s="25" t="inlineStr">
        <is>
          <t>Грудень</t>
        </is>
      </c>
    </row>
    <row r="21" ht="21.05" customHeight="1">
      <c r="A21" s="36" t="n">
        <v>46360</v>
      </c>
      <c r="B21" s="37" t="inlineStr">
        <is>
          <t>⛪ Великомучениці Варвари</t>
        </is>
      </c>
      <c r="C21" s="25" t="inlineStr">
        <is>
          <t>Церковне</t>
        </is>
      </c>
      <c r="D21" s="25" t="inlineStr">
        <is>
          <t>⛪ Варвари · іменини</t>
        </is>
      </c>
      <c r="E21" s="25" t="inlineStr">
        <is>
          <t>Іменини Варвар: прикраси, іменні ікони.</t>
        </is>
      </c>
      <c r="F21" s="25" t="inlineStr">
        <is>
          <t>Грудень</t>
        </is>
      </c>
    </row>
    <row r="22" ht="47.15" customHeight="1">
      <c r="A22" s="36" t="n">
        <v>46362</v>
      </c>
      <c r="B22" s="37" t="inlineStr">
        <is>
          <t>🎁 День святого Миколая · 🇺🇦 День Збройних Сил України</t>
        </is>
      </c>
      <c r="C22" s="25" t="inlineStr">
        <is>
          <t>Церковне · Державне</t>
        </is>
      </c>
      <c r="D22" s="25" t="inlineStr">
        <is>
          <t>🎁 Миколая · День ЗСУ</t>
        </is>
      </c>
      <c r="E22" s="25" t="inlineStr">
        <is>
          <t>Головний подарунковий день сезону: підбірки з цінами за 2–3 тижні. Подяка ЗСУ — статуетки техніки, без жартів.</t>
        </is>
      </c>
      <c r="F22" s="25" t="inlineStr">
        <is>
          <t>Грудень</t>
        </is>
      </c>
    </row>
    <row r="23" ht="34.09999999999999" customHeight="1">
      <c r="A23" s="36" t="n">
        <v>46365</v>
      </c>
      <c r="B23" s="37" t="inlineStr">
        <is>
          <t>⛪ Зачаття праведною Анною Пресвятої Богородиці</t>
        </is>
      </c>
      <c r="C23" s="25" t="inlineStr">
        <is>
          <t>Церковне</t>
        </is>
      </c>
      <c r="D23" s="25" t="inlineStr">
        <is>
          <t>⛪ Анни · іменини</t>
        </is>
      </c>
      <c r="E23" s="25" t="inlineStr">
        <is>
          <t>Іменини Анн: прикраси, іменні ікони.</t>
        </is>
      </c>
      <c r="F23" s="25" t="inlineStr">
        <is>
          <t>Грудень</t>
        </is>
      </c>
    </row>
    <row r="24" ht="34.09999999999999" customHeight="1">
      <c r="A24" s="36" t="n">
        <v>46375</v>
      </c>
      <c r="B24" s="37" t="inlineStr">
        <is>
          <t>⚖️ День адвокатури України</t>
        </is>
      </c>
      <c r="C24" s="25" t="inlineStr">
        <is>
          <t>Професійне · високий чек</t>
        </is>
      </c>
      <c r="D24" s="25" t="inlineStr">
        <is>
          <t>⚖️ День адвокатури</t>
        </is>
      </c>
      <c r="E24" s="25" t="inlineStr">
        <is>
          <t>Ділові подарунки (формат відео №2).</t>
        </is>
      </c>
      <c r="F24" s="25" t="inlineStr">
        <is>
          <t>Грудень</t>
        </is>
      </c>
    </row>
    <row r="25" ht="34.09999999999999" customHeight="1">
      <c r="A25" s="36" t="n">
        <v>46378</v>
      </c>
      <c r="B25" s="37" t="inlineStr">
        <is>
          <t>⚡ День енергетика · 🕊 День працівників дипломатичної служби</t>
        </is>
      </c>
      <c r="C25" s="25" t="inlineStr">
        <is>
          <t>Професійне · високий чек</t>
        </is>
      </c>
      <c r="D25" s="25" t="inlineStr">
        <is>
          <t>⚡ Енергетики · дипломати</t>
        </is>
      </c>
      <c r="E25" s="25" t="inlineStr">
        <is>
          <t>Бурштин — класичний протокольний подарунок іноземним партнерам: великі роботи, ікони, сувеніри «з України».</t>
        </is>
      </c>
      <c r="F25" s="25" t="inlineStr">
        <is>
          <t>Грудень</t>
        </is>
      </c>
    </row>
    <row r="26" ht="21.05" customHeight="1">
      <c r="A26" s="36" t="n">
        <v>46380</v>
      </c>
      <c r="B26" s="37" t="inlineStr">
        <is>
          <t>🕯 Святвечір</t>
        </is>
      </c>
      <c r="C26" s="25" t="inlineStr">
        <is>
          <t>Церковне</t>
        </is>
      </c>
      <c r="D26" s="25" t="inlineStr">
        <is>
          <t>🕯 Святвечір</t>
        </is>
      </c>
      <c r="E26" s="25" t="inlineStr">
        <is>
          <t>Атмосферний контент без продажу: свічка крізь бурштин.</t>
        </is>
      </c>
      <c r="F26" s="25" t="inlineStr">
        <is>
          <t>Грудень</t>
        </is>
      </c>
    </row>
    <row r="27" ht="34.09999999999999" customHeight="1">
      <c r="A27" s="36" t="n">
        <v>46381</v>
      </c>
      <c r="B27" s="37" t="inlineStr">
        <is>
          <t>🎄 Різдво Христове</t>
        </is>
      </c>
      <c r="C27" s="25" t="inlineStr">
        <is>
          <t>Церковне · Державне</t>
        </is>
      </c>
      <c r="D27" s="25" t="inlineStr">
        <is>
          <t>🎄 Різдво</t>
        </is>
      </c>
      <c r="E27" s="25" t="inlineStr">
        <is>
          <t>Різдвяні ікони; подарункові підбірки — до 18.12, щоб встигла доставка.</t>
        </is>
      </c>
      <c r="F27" s="25" t="inlineStr">
        <is>
          <t>Грудень</t>
        </is>
      </c>
    </row>
    <row r="28" ht="34.09999999999999" customHeight="1">
      <c r="A28" s="36" t="n">
        <v>46387</v>
      </c>
      <c r="B28" s="37" t="inlineStr">
        <is>
          <t>🎆 Щедрий вечір (свята Меланії) · Новий рік</t>
        </is>
      </c>
      <c r="C28" s="25" t="inlineStr">
        <is>
          <t>Церковне · Державне</t>
        </is>
      </c>
      <c r="D28" s="25" t="inlineStr">
        <is>
          <t>🎆 Меланки · Новий рік</t>
        </is>
      </c>
      <c r="E28" s="25" t="inlineStr">
        <is>
          <t>Новорічні подарунки, підсумки року бренду.</t>
        </is>
      </c>
      <c r="F28" s="25" t="inlineStr">
        <is>
          <t>Грудень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0" customWidth="1" min="5" max="5"/>
    <col width="11" customWidth="1" min="6" max="6"/>
    <col width="11" customWidth="1" min="7" max="7"/>
    <col width="8" customWidth="1" min="8" max="8"/>
    <col width="11" customWidth="1" min="9" max="9"/>
    <col width="40" customWidth="1" min="10" max="10"/>
    <col width="40" customWidth="1" min="11" max="11"/>
    <col width="36" customWidth="1" min="12" max="12"/>
    <col width="17" customWidth="1" min="13" max="13"/>
  </cols>
  <sheetData>
    <row r="1" ht="40" customHeight="1">
      <c r="A1" s="20" t="inlineStr">
        <is>
          <t>Референси: що спрацювало і чому</t>
        </is>
      </c>
    </row>
    <row r="2" ht="44" customHeight="1">
      <c r="A2" s="21" t="inlineStr">
        <is>
          <t>Цифри зняті з екранних записів TikTok у папці referens (округлені, як показує TikTok). ER = (вподобання + коментарі + збереження + поширення) / перегляди.</t>
        </is>
      </c>
    </row>
    <row r="4" ht="34" customHeight="1">
      <c r="A4" s="22" t="inlineStr">
        <is>
          <t>Відео</t>
        </is>
      </c>
      <c r="B4" s="22" t="inlineStr">
        <is>
          <t>Опубліковано</t>
        </is>
      </c>
      <c r="C4" s="22" t="inlineStr">
        <is>
          <t>Перегляди</t>
        </is>
      </c>
      <c r="D4" s="22" t="inlineStr">
        <is>
          <t>Вподобання</t>
        </is>
      </c>
      <c r="E4" s="22" t="inlineStr">
        <is>
          <t>Коментарі</t>
        </is>
      </c>
      <c r="F4" s="22" t="inlineStr">
        <is>
          <t>Збереження</t>
        </is>
      </c>
      <c r="G4" s="22" t="inlineStr">
        <is>
          <t>Поширення</t>
        </is>
      </c>
      <c r="H4" s="22" t="inlineStr">
        <is>
          <t>ER</t>
        </is>
      </c>
      <c r="I4" s="22" t="inlineStr">
        <is>
          <t>Поширення / перегляди</t>
        </is>
      </c>
      <c r="J4" s="22" t="inlineStr">
        <is>
          <t>Що в кадрі</t>
        </is>
      </c>
      <c r="K4" s="22" t="inlineStr">
        <is>
          <t>Чому спрацювало / ні</t>
        </is>
      </c>
      <c r="L4" s="22" t="inlineStr">
        <is>
          <t>Що беремо в план</t>
        </is>
      </c>
      <c r="M4" s="22" t="inlineStr">
        <is>
          <t>Рубрика</t>
        </is>
      </c>
    </row>
    <row r="5" ht="73.25" customHeight="1">
      <c r="A5" s="26" t="inlineStr">
        <is>
          <t>«Картину з бурштину — ефект вау»</t>
        </is>
      </c>
      <c r="B5" s="36" t="n">
        <v>46134</v>
      </c>
      <c r="C5" s="29" t="n">
        <v>152400</v>
      </c>
      <c r="D5" s="29" t="n">
        <v>9083</v>
      </c>
      <c r="E5" s="29" t="n">
        <v>230</v>
      </c>
      <c r="F5" s="29" t="n">
        <v>512</v>
      </c>
      <c r="G5" s="29" t="n">
        <v>733</v>
      </c>
      <c r="H5" s="38">
        <f>IF(AND(C5&gt;0,COUNT(D5:G5)=4),(D5+E5+F5+G5)/C5,"")</f>
        <v/>
      </c>
      <c r="I5" s="39">
        <f>IF(AND(C5&gt;0,G5&lt;&gt;""),G5/C5,"")</f>
        <v/>
      </c>
      <c r="J5" s="25" t="inlineStr">
        <is>
          <t>Майстер піднімає зі столу велику мозаїку «Орел», розвертає до камери, камера наїжджає на очі й фактуру. Текст «Ламаємо стереотипи про картини з бурштину🔥», геотег Рівне, трек.</t>
        </is>
      </c>
      <c r="K5" s="25" t="inlineStr">
        <is>
          <t>Масштаб + несподіванка (бурштин — не лише прикраси), людина в кадрі для розміру, деталі на світлі, текст-виклик. Коментарі — про ціну («боюся навіть питатись, скільки це…»).</t>
        </is>
      </c>
      <c r="L5" s="25" t="inlineStr">
        <is>
          <t>Серія «Ламаємо стереотипи» ч.2/ч.3, великі роботи + макро, відповідь про ціну окремим відео.</t>
        </is>
      </c>
      <c r="M5" s="25" t="inlineStr">
        <is>
          <t>🔥 Вау-масштаб</t>
        </is>
      </c>
    </row>
    <row r="6" ht="47.15" customHeight="1">
      <c r="A6" s="26" t="inlineStr">
        <is>
          <t>«З камінням: необроблений бурштин»</t>
        </is>
      </c>
      <c r="B6" s="36" t="n">
        <v>46017</v>
      </c>
      <c r="C6" s="29" t="n">
        <v>27600</v>
      </c>
      <c r="D6" s="29" t="n">
        <v>613</v>
      </c>
      <c r="E6" s="29" t="n">
        <v>12</v>
      </c>
      <c r="F6" s="29" t="n">
        <v>22</v>
      </c>
      <c r="G6" s="29" t="n">
        <v>86</v>
      </c>
      <c r="H6" s="38">
        <f>IF(AND(C6&gt;0,COUNT(D6:G6)=4),(D6+E6+F6+G6)/C6,"")</f>
        <v/>
      </c>
      <c r="I6" s="39">
        <f>IF(AND(C6&gt;0,G6&lt;&gt;""),G6/C6,"")</f>
        <v/>
      </c>
      <c r="J6" s="25" t="inlineStr">
        <is>
          <t>Рука по одному дістає з контейнера великі шматки сирцю і крутить їх на світлі. Трендовий трек, в описі — адреса магазину.</t>
        </is>
      </c>
      <c r="K6" s="25" t="inlineStr">
        <is>
          <t>Сирий камінь читається як «скарб у руках»: «я бачу, що в руках гроші». Питають ціну і доставку за кордон.</t>
        </is>
      </c>
      <c r="L6" s="25" t="inlineStr">
        <is>
          <t>Рубрика «Камінь у руках»: сирець крупно + гра «вгадай ціну». Окремо відповісти про доставку за кордон.</t>
        </is>
      </c>
      <c r="M6" s="25" t="inlineStr">
        <is>
          <t>🪨 Камінь у руках</t>
        </is>
      </c>
    </row>
    <row r="7" ht="60.2" customHeight="1">
      <c r="A7" s="26" t="inlineStr">
        <is>
          <t>«Доміно з бурштину»</t>
        </is>
      </c>
      <c r="B7" s="36" t="n">
        <v>46055</v>
      </c>
      <c r="C7" s="29" t="n">
        <v>2657</v>
      </c>
      <c r="D7" s="29" t="n">
        <v>70</v>
      </c>
      <c r="E7" s="29" t="n">
        <v>6</v>
      </c>
      <c r="F7" s="29" t="n">
        <v>15</v>
      </c>
      <c r="G7" s="29" t="n">
        <v>11</v>
      </c>
      <c r="H7" s="38">
        <f>IF(AND(C7&gt;0,COUNT(D7:G7)=4),(D7+E7+F7+G7)/C7,"")</f>
        <v/>
      </c>
      <c r="I7" s="39">
        <f>IF(AND(C7&gt;0,G7&lt;&gt;""),G7/C7,"")</f>
        <v/>
      </c>
      <c r="J7" s="25" t="inlineStr">
        <is>
          <t>Закрита скринька → відкриття → кісточки висипаються → складання назад. Текст «Доміно з бурштину» + лого, фінальна заставка з лого.</t>
        </is>
      </c>
      <c r="K7" s="25" t="inlineStr">
        <is>
          <t>Статичний старт (закрита коробка) — слабкий хук; виглядає як реклама; ціни немає — питають «Можна ціну?». При цьому ER 3,8% — товар цікавий.</t>
        </is>
      </c>
      <c r="L7" s="25" t="inlineStr">
        <is>
          <t>Рубрика «Річ у ділі»: старт із дії і звуку, виріб у використанні, ціна в закріпі.</t>
        </is>
      </c>
      <c r="M7" s="25" t="inlineStr">
        <is>
          <t>🎁 Річ у ділі</t>
        </is>
      </c>
    </row>
    <row r="8" ht="60.2" customHeight="1">
      <c r="A8" s="26" t="inlineStr">
        <is>
          <t>«Один день на виробництві — швидкі кадри»</t>
        </is>
      </c>
      <c r="B8" s="36" t="n"/>
      <c r="C8" s="29" t="n"/>
      <c r="D8" s="29" t="n"/>
      <c r="E8" s="29" t="n"/>
      <c r="F8" s="29" t="n"/>
      <c r="G8" s="29" t="n"/>
      <c r="H8" s="38">
        <f>IF(AND(C8&gt;0,COUNT(D8:G8)=4),(D8+E8+F8+G8)/C8,"")</f>
        <v/>
      </c>
      <c r="I8" s="39">
        <f>IF(AND(C8&gt;0,G8&lt;&gt;""),G8/C8,"")</f>
        <v/>
      </c>
      <c r="J8" s="25" t="inlineStr">
        <is>
          <t>Файл більше 10 МБ: коннектор Google Drive такі не віддає, переглянути не вдалося. Ідея — за назвою: швидкий монтаж дня на виробництві.</t>
        </is>
      </c>
      <c r="K8" s="25" t="inlineStr">
        <is>
          <t>—</t>
        </is>
      </c>
      <c r="L8" s="25" t="inlineStr">
        <is>
          <t>Рубрика «Як це зроблено». Статистику можна дописати вручну в цей рядок.</t>
        </is>
      </c>
      <c r="M8" s="25" t="inlineStr">
        <is>
          <t>🔨 Як це зроблено</t>
        </is>
      </c>
    </row>
    <row r="9" ht="47.15" customHeight="1">
      <c r="A9" s="26" t="inlineStr">
        <is>
          <t>ASMR: шліфування (зі звіту 22–28.09)</t>
        </is>
      </c>
      <c r="B9" s="36" t="n">
        <v>46290</v>
      </c>
      <c r="C9" s="29" t="n">
        <v>12200</v>
      </c>
      <c r="D9" s="29" t="n"/>
      <c r="E9" s="29" t="n"/>
      <c r="F9" s="29" t="n"/>
      <c r="G9" s="29" t="n"/>
      <c r="H9" s="38">
        <f>IF(AND(C9&gt;0,COUNT(D9:G9)=4),(D9+E9+F9+G9)/C9,"")</f>
        <v/>
      </c>
      <c r="I9" s="39">
        <f>IF(AND(C9&gt;0,G9&lt;&gt;""),G9/C9,"")</f>
        <v/>
      </c>
      <c r="J9" s="25" t="inlineStr">
        <is>
          <t>Крупний план обробки каменю, без тексту і голосу, живий звук.</t>
        </is>
      </c>
      <c r="K9" s="25" t="inlineStr">
        <is>
          <t>71% середнього часу перегляду, 32,7% до кінця, 12 нових підписників — понад половина приросту тижня.</t>
        </is>
      </c>
      <c r="L9" s="25" t="inlineStr">
        <is>
          <t>ASMR-випуски в рубриці «Камінь у руках» (№5).</t>
        </is>
      </c>
      <c r="M9" s="25" t="inlineStr">
        <is>
          <t>🪨 Камінь у руках</t>
        </is>
      </c>
    </row>
  </sheetData>
  <mergeCells count="2">
    <mergeCell ref="A2:M2"/>
    <mergeCell ref="A1:M1"/>
  </mergeCells>
  <conditionalFormatting sqref="M5:M9">
    <cfRule type="expression" priority="1" dxfId="0">
      <formula>ISNUMBER(SEARCH("Камінь у руках",$M5))</formula>
    </cfRule>
    <cfRule type="expression" priority="2" dxfId="1">
      <formula>ISNUMBER(SEARCH("Як це зроблено",$M5))</formula>
    </cfRule>
    <cfRule type="expression" priority="3" dxfId="2">
      <formula>ISNUMBER(SEARCH("Річ у ділі",$M5))</formula>
    </cfRule>
    <cfRule type="expression" priority="4" dxfId="3">
      <formula>ISNUMBER(SEARCH("Вау-масштаб",$M5))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" customWidth="1" min="2" max="2"/>
    <col width="30" customWidth="1" min="3" max="3"/>
    <col width="17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  <col width="10" customWidth="1" min="13" max="13"/>
    <col width="7" customWidth="1" min="14" max="14"/>
    <col width="10" customWidth="1" min="15" max="15"/>
    <col width="10" customWidth="1" min="16" max="16"/>
    <col width="10" customWidth="1" min="17" max="17"/>
    <col width="30" customWidth="1" min="18" max="18"/>
  </cols>
  <sheetData>
    <row r="1" ht="40" customHeight="1">
      <c r="A1" s="20" t="inlineStr">
        <is>
          <t>Заміри після публікації</t>
        </is>
      </c>
    </row>
    <row r="2" ht="44" customHeight="1">
      <c r="A2" s="21" t="inlineStr">
        <is>
          <t>Заповнюємо через 24–48 год з TikTok Studio (білі клітинки). Сірі — рахуються самі. Порівнюйте з референсами: «Орел» — ER 6,9%, «Сирець» — 2,7%, «Доміно» — 3,8%.</t>
        </is>
      </c>
    </row>
    <row r="4" ht="34" customHeight="1">
      <c r="A4" s="22" t="inlineStr">
        <is>
          <t>№</t>
        </is>
      </c>
      <c r="B4" s="22" t="inlineStr">
        <is>
          <t>Дата</t>
        </is>
      </c>
      <c r="C4" s="22" t="inlineStr">
        <is>
          <t>Відео</t>
        </is>
      </c>
      <c r="D4" s="22" t="inlineStr">
        <is>
          <t>Рубрика</t>
        </is>
      </c>
      <c r="E4" s="22" t="inlineStr">
        <is>
          <t>Перегляди</t>
        </is>
      </c>
      <c r="F4" s="22" t="inlineStr">
        <is>
          <t>Сер. час перегляду, %</t>
        </is>
      </c>
      <c r="G4" s="22" t="inlineStr">
        <is>
          <t>До кінця, %</t>
        </is>
      </c>
      <c r="H4" s="22" t="inlineStr">
        <is>
          <t>Вподобання</t>
        </is>
      </c>
      <c r="I4" s="22" t="inlineStr">
        <is>
          <t>Коментарі</t>
        </is>
      </c>
      <c r="J4" s="22" t="inlineStr">
        <is>
          <t>Збереження</t>
        </is>
      </c>
      <c r="K4" s="22" t="inlineStr">
        <is>
          <t>Поширення</t>
        </is>
      </c>
      <c r="L4" s="22" t="inlineStr">
        <is>
          <t>Нові підписники</t>
        </is>
      </c>
      <c r="M4" s="22" t="inlineStr">
        <is>
          <t>Перегляди профілю</t>
        </is>
      </c>
      <c r="N4" s="22" t="inlineStr">
        <is>
          <t>ER</t>
        </is>
      </c>
      <c r="O4" s="22" t="inlineStr">
        <is>
          <t>Поширення / перегляди</t>
        </is>
      </c>
      <c r="P4" s="22" t="inlineStr">
        <is>
          <t>Ціль переглядів</t>
        </is>
      </c>
      <c r="Q4" s="22" t="inlineStr">
        <is>
          <t>Ціль виконано?</t>
        </is>
      </c>
      <c r="R4" s="22" t="inlineStr">
        <is>
          <t>Висновок: повторюємо / змінюємо</t>
        </is>
      </c>
    </row>
    <row r="5">
      <c r="A5" s="25" t="n">
        <v>1</v>
      </c>
      <c r="B5" s="40">
        <f>'Сценарії'!B5</f>
        <v/>
      </c>
      <c r="C5" s="41">
        <f>'Сценарії'!F5</f>
        <v/>
      </c>
      <c r="D5" s="41">
        <f>'Сценарії'!E5</f>
        <v/>
      </c>
      <c r="E5" s="29" t="n"/>
      <c r="F5" s="25" t="n"/>
      <c r="G5" s="25" t="n"/>
      <c r="H5" s="29" t="n"/>
      <c r="I5" s="29" t="n"/>
      <c r="J5" s="29" t="n"/>
      <c r="K5" s="29" t="n"/>
      <c r="L5" s="29" t="n"/>
      <c r="M5" s="29" t="n"/>
      <c r="N5" s="42">
        <f>IF(E5&gt;0,(H5+I5+J5+K5)/E5,"")</f>
        <v/>
      </c>
      <c r="O5" s="43">
        <f>IF(E5&gt;0,K5/E5,"")</f>
        <v/>
      </c>
      <c r="P5" s="44">
        <f>IFERROR(VLOOKUP(D5,'Рубрики'!$B$5:$H$8,7,FALSE),"")</f>
        <v/>
      </c>
      <c r="Q5" s="41">
        <f>IF(E5="","",IF(E5&gt;=P5,"✅ так","❌ ні"))</f>
        <v/>
      </c>
      <c r="R5" s="25" t="n"/>
    </row>
    <row r="6">
      <c r="A6" s="25" t="n">
        <v>2</v>
      </c>
      <c r="B6" s="40">
        <f>'Сценарії'!B6</f>
        <v/>
      </c>
      <c r="C6" s="41">
        <f>'Сценарії'!F6</f>
        <v/>
      </c>
      <c r="D6" s="41">
        <f>'Сценарії'!E6</f>
        <v/>
      </c>
      <c r="E6" s="29" t="n"/>
      <c r="F6" s="25" t="n"/>
      <c r="G6" s="25" t="n"/>
      <c r="H6" s="29" t="n"/>
      <c r="I6" s="29" t="n"/>
      <c r="J6" s="29" t="n"/>
      <c r="K6" s="29" t="n"/>
      <c r="L6" s="29" t="n"/>
      <c r="M6" s="29" t="n"/>
      <c r="N6" s="42">
        <f>IF(E6&gt;0,(H6+I6+J6+K6)/E6,"")</f>
        <v/>
      </c>
      <c r="O6" s="43">
        <f>IF(E6&gt;0,K6/E6,"")</f>
        <v/>
      </c>
      <c r="P6" s="44">
        <f>IFERROR(VLOOKUP(D6,'Рубрики'!$B$5:$H$8,7,FALSE),"")</f>
        <v/>
      </c>
      <c r="Q6" s="41">
        <f>IF(E6="","",IF(E6&gt;=P6,"✅ так","❌ ні"))</f>
        <v/>
      </c>
      <c r="R6" s="25" t="n"/>
    </row>
    <row r="7">
      <c r="A7" s="25" t="n">
        <v>3</v>
      </c>
      <c r="B7" s="40">
        <f>'Сценарії'!B7</f>
        <v/>
      </c>
      <c r="C7" s="41">
        <f>'Сценарії'!F7</f>
        <v/>
      </c>
      <c r="D7" s="41">
        <f>'Сценарії'!E7</f>
        <v/>
      </c>
      <c r="E7" s="29" t="n"/>
      <c r="F7" s="25" t="n"/>
      <c r="G7" s="25" t="n"/>
      <c r="H7" s="29" t="n"/>
      <c r="I7" s="29" t="n"/>
      <c r="J7" s="29" t="n"/>
      <c r="K7" s="29" t="n"/>
      <c r="L7" s="29" t="n"/>
      <c r="M7" s="29" t="n"/>
      <c r="N7" s="42">
        <f>IF(E7&gt;0,(H7+I7+J7+K7)/E7,"")</f>
        <v/>
      </c>
      <c r="O7" s="43">
        <f>IF(E7&gt;0,K7/E7,"")</f>
        <v/>
      </c>
      <c r="P7" s="44">
        <f>IFERROR(VLOOKUP(D7,'Рубрики'!$B$5:$H$8,7,FALSE),"")</f>
        <v/>
      </c>
      <c r="Q7" s="41">
        <f>IF(E7="","",IF(E7&gt;=P7,"✅ так","❌ ні"))</f>
        <v/>
      </c>
      <c r="R7" s="25" t="n"/>
    </row>
    <row r="8">
      <c r="A8" s="25" t="n">
        <v>4</v>
      </c>
      <c r="B8" s="40">
        <f>'Сценарії'!B8</f>
        <v/>
      </c>
      <c r="C8" s="41">
        <f>'Сценарії'!F8</f>
        <v/>
      </c>
      <c r="D8" s="41">
        <f>'Сценарії'!E8</f>
        <v/>
      </c>
      <c r="E8" s="29" t="n"/>
      <c r="F8" s="25" t="n"/>
      <c r="G8" s="25" t="n"/>
      <c r="H8" s="29" t="n"/>
      <c r="I8" s="29" t="n"/>
      <c r="J8" s="29" t="n"/>
      <c r="K8" s="29" t="n"/>
      <c r="L8" s="29" t="n"/>
      <c r="M8" s="29" t="n"/>
      <c r="N8" s="42">
        <f>IF(E8&gt;0,(H8+I8+J8+K8)/E8,"")</f>
        <v/>
      </c>
      <c r="O8" s="43">
        <f>IF(E8&gt;0,K8/E8,"")</f>
        <v/>
      </c>
      <c r="P8" s="44">
        <f>IFERROR(VLOOKUP(D8,'Рубрики'!$B$5:$H$8,7,FALSE),"")</f>
        <v/>
      </c>
      <c r="Q8" s="41">
        <f>IF(E8="","",IF(E8&gt;=P8,"✅ так","❌ ні"))</f>
        <v/>
      </c>
      <c r="R8" s="25" t="n"/>
    </row>
    <row r="9">
      <c r="A9" s="25" t="n">
        <v>5</v>
      </c>
      <c r="B9" s="40">
        <f>'Сценарії'!B9</f>
        <v/>
      </c>
      <c r="C9" s="41">
        <f>'Сценарії'!F9</f>
        <v/>
      </c>
      <c r="D9" s="41">
        <f>'Сценарії'!E9</f>
        <v/>
      </c>
      <c r="E9" s="29" t="n"/>
      <c r="F9" s="25" t="n"/>
      <c r="G9" s="25" t="n"/>
      <c r="H9" s="29" t="n"/>
      <c r="I9" s="29" t="n"/>
      <c r="J9" s="29" t="n"/>
      <c r="K9" s="29" t="n"/>
      <c r="L9" s="29" t="n"/>
      <c r="M9" s="29" t="n"/>
      <c r="N9" s="42">
        <f>IF(E9&gt;0,(H9+I9+J9+K9)/E9,"")</f>
        <v/>
      </c>
      <c r="O9" s="43">
        <f>IF(E9&gt;0,K9/E9,"")</f>
        <v/>
      </c>
      <c r="P9" s="44">
        <f>IFERROR(VLOOKUP(D9,'Рубрики'!$B$5:$H$8,7,FALSE),"")</f>
        <v/>
      </c>
      <c r="Q9" s="41">
        <f>IF(E9="","",IF(E9&gt;=P9,"✅ так","❌ ні"))</f>
        <v/>
      </c>
      <c r="R9" s="25" t="n"/>
    </row>
    <row r="10">
      <c r="A10" s="25" t="n">
        <v>6</v>
      </c>
      <c r="B10" s="40">
        <f>'Сценарії'!B10</f>
        <v/>
      </c>
      <c r="C10" s="41">
        <f>'Сценарії'!F10</f>
        <v/>
      </c>
      <c r="D10" s="41">
        <f>'Сценарії'!E10</f>
        <v/>
      </c>
      <c r="E10" s="29" t="n"/>
      <c r="F10" s="25" t="n"/>
      <c r="G10" s="25" t="n"/>
      <c r="H10" s="29" t="n"/>
      <c r="I10" s="29" t="n"/>
      <c r="J10" s="29" t="n"/>
      <c r="K10" s="29" t="n"/>
      <c r="L10" s="29" t="n"/>
      <c r="M10" s="29" t="n"/>
      <c r="N10" s="42">
        <f>IF(E10&gt;0,(H10+I10+J10+K10)/E10,"")</f>
        <v/>
      </c>
      <c r="O10" s="43">
        <f>IF(E10&gt;0,K10/E10,"")</f>
        <v/>
      </c>
      <c r="P10" s="44">
        <f>IFERROR(VLOOKUP(D10,'Рубрики'!$B$5:$H$8,7,FALSE),"")</f>
        <v/>
      </c>
      <c r="Q10" s="41">
        <f>IF(E10="","",IF(E10&gt;=P10,"✅ так","❌ ні"))</f>
        <v/>
      </c>
      <c r="R10" s="25" t="n"/>
    </row>
    <row r="11">
      <c r="A11" s="25" t="n">
        <v>7</v>
      </c>
      <c r="B11" s="40">
        <f>'Сценарії'!B11</f>
        <v/>
      </c>
      <c r="C11" s="41">
        <f>'Сценарії'!F11</f>
        <v/>
      </c>
      <c r="D11" s="41">
        <f>'Сценарії'!E11</f>
        <v/>
      </c>
      <c r="E11" s="29" t="n"/>
      <c r="F11" s="25" t="n"/>
      <c r="G11" s="25" t="n"/>
      <c r="H11" s="29" t="n"/>
      <c r="I11" s="29" t="n"/>
      <c r="J11" s="29" t="n"/>
      <c r="K11" s="29" t="n"/>
      <c r="L11" s="29" t="n"/>
      <c r="M11" s="29" t="n"/>
      <c r="N11" s="42">
        <f>IF(E11&gt;0,(H11+I11+J11+K11)/E11,"")</f>
        <v/>
      </c>
      <c r="O11" s="43">
        <f>IF(E11&gt;0,K11/E11,"")</f>
        <v/>
      </c>
      <c r="P11" s="44">
        <f>IFERROR(VLOOKUP(D11,'Рубрики'!$B$5:$H$8,7,FALSE),"")</f>
        <v/>
      </c>
      <c r="Q11" s="41">
        <f>IF(E11="","",IF(E11&gt;=P11,"✅ так","❌ ні"))</f>
        <v/>
      </c>
      <c r="R11" s="25" t="n"/>
    </row>
    <row r="12">
      <c r="A12" s="25" t="n">
        <v>8</v>
      </c>
      <c r="B12" s="40">
        <f>'Сценарії'!B12</f>
        <v/>
      </c>
      <c r="C12" s="41">
        <f>'Сценарії'!F12</f>
        <v/>
      </c>
      <c r="D12" s="41">
        <f>'Сценарії'!E12</f>
        <v/>
      </c>
      <c r="E12" s="29" t="n"/>
      <c r="F12" s="25" t="n"/>
      <c r="G12" s="25" t="n"/>
      <c r="H12" s="29" t="n"/>
      <c r="I12" s="29" t="n"/>
      <c r="J12" s="29" t="n"/>
      <c r="K12" s="29" t="n"/>
      <c r="L12" s="29" t="n"/>
      <c r="M12" s="29" t="n"/>
      <c r="N12" s="42">
        <f>IF(E12&gt;0,(H12+I12+J12+K12)/E12,"")</f>
        <v/>
      </c>
      <c r="O12" s="43">
        <f>IF(E12&gt;0,K12/E12,"")</f>
        <v/>
      </c>
      <c r="P12" s="44">
        <f>IFERROR(VLOOKUP(D12,'Рубрики'!$B$5:$H$8,7,FALSE),"")</f>
        <v/>
      </c>
      <c r="Q12" s="41">
        <f>IF(E12="","",IF(E12&gt;=P12,"✅ так","❌ ні"))</f>
        <v/>
      </c>
      <c r="R12" s="25" t="n"/>
    </row>
    <row r="13">
      <c r="A13" s="25" t="n">
        <v>9</v>
      </c>
      <c r="B13" s="40">
        <f>'Сценарії'!B13</f>
        <v/>
      </c>
      <c r="C13" s="41">
        <f>'Сценарії'!F13</f>
        <v/>
      </c>
      <c r="D13" s="41">
        <f>'Сценарії'!E13</f>
        <v/>
      </c>
      <c r="E13" s="29" t="n"/>
      <c r="F13" s="25" t="n"/>
      <c r="G13" s="25" t="n"/>
      <c r="H13" s="29" t="n"/>
      <c r="I13" s="29" t="n"/>
      <c r="J13" s="29" t="n"/>
      <c r="K13" s="29" t="n"/>
      <c r="L13" s="29" t="n"/>
      <c r="M13" s="29" t="n"/>
      <c r="N13" s="42">
        <f>IF(E13&gt;0,(H13+I13+J13+K13)/E13,"")</f>
        <v/>
      </c>
      <c r="O13" s="43">
        <f>IF(E13&gt;0,K13/E13,"")</f>
        <v/>
      </c>
      <c r="P13" s="44">
        <f>IFERROR(VLOOKUP(D13,'Рубрики'!$B$5:$H$8,7,FALSE),"")</f>
        <v/>
      </c>
      <c r="Q13" s="41">
        <f>IF(E13="","",IF(E13&gt;=P13,"✅ так","❌ ні"))</f>
        <v/>
      </c>
      <c r="R13" s="25" t="n"/>
    </row>
    <row r="14">
      <c r="A14" s="25" t="n">
        <v>10</v>
      </c>
      <c r="B14" s="40">
        <f>'Сценарії'!B14</f>
        <v/>
      </c>
      <c r="C14" s="41">
        <f>'Сценарії'!F14</f>
        <v/>
      </c>
      <c r="D14" s="41">
        <f>'Сценарії'!E14</f>
        <v/>
      </c>
      <c r="E14" s="29" t="n"/>
      <c r="F14" s="25" t="n"/>
      <c r="G14" s="25" t="n"/>
      <c r="H14" s="29" t="n"/>
      <c r="I14" s="29" t="n"/>
      <c r="J14" s="29" t="n"/>
      <c r="K14" s="29" t="n"/>
      <c r="L14" s="29" t="n"/>
      <c r="M14" s="29" t="n"/>
      <c r="N14" s="42">
        <f>IF(E14&gt;0,(H14+I14+J14+K14)/E14,"")</f>
        <v/>
      </c>
      <c r="O14" s="43">
        <f>IF(E14&gt;0,K14/E14,"")</f>
        <v/>
      </c>
      <c r="P14" s="44">
        <f>IFERROR(VLOOKUP(D14,'Рубрики'!$B$5:$H$8,7,FALSE),"")</f>
        <v/>
      </c>
      <c r="Q14" s="41">
        <f>IF(E14="","",IF(E14&gt;=P14,"✅ так","❌ ні"))</f>
        <v/>
      </c>
      <c r="R14" s="25" t="n"/>
    </row>
    <row r="15">
      <c r="A15" s="25" t="n">
        <v>11</v>
      </c>
      <c r="B15" s="40">
        <f>'Сценарії'!B15</f>
        <v/>
      </c>
      <c r="C15" s="41">
        <f>'Сценарії'!F15</f>
        <v/>
      </c>
      <c r="D15" s="41">
        <f>'Сценарії'!E15</f>
        <v/>
      </c>
      <c r="E15" s="29" t="n"/>
      <c r="F15" s="25" t="n"/>
      <c r="G15" s="25" t="n"/>
      <c r="H15" s="29" t="n"/>
      <c r="I15" s="29" t="n"/>
      <c r="J15" s="29" t="n"/>
      <c r="K15" s="29" t="n"/>
      <c r="L15" s="29" t="n"/>
      <c r="M15" s="29" t="n"/>
      <c r="N15" s="42">
        <f>IF(E15&gt;0,(H15+I15+J15+K15)/E15,"")</f>
        <v/>
      </c>
      <c r="O15" s="43">
        <f>IF(E15&gt;0,K15/E15,"")</f>
        <v/>
      </c>
      <c r="P15" s="44">
        <f>IFERROR(VLOOKUP(D15,'Рубрики'!$B$5:$H$8,7,FALSE),"")</f>
        <v/>
      </c>
      <c r="Q15" s="41">
        <f>IF(E15="","",IF(E15&gt;=P15,"✅ так","❌ ні"))</f>
        <v/>
      </c>
      <c r="R15" s="25" t="n"/>
    </row>
    <row r="16">
      <c r="A16" s="25" t="n">
        <v>12</v>
      </c>
      <c r="B16" s="40">
        <f>'Сценарії'!B16</f>
        <v/>
      </c>
      <c r="C16" s="41">
        <f>'Сценарії'!F16</f>
        <v/>
      </c>
      <c r="D16" s="41">
        <f>'Сценарії'!E16</f>
        <v/>
      </c>
      <c r="E16" s="29" t="n"/>
      <c r="F16" s="25" t="n"/>
      <c r="G16" s="25" t="n"/>
      <c r="H16" s="29" t="n"/>
      <c r="I16" s="29" t="n"/>
      <c r="J16" s="29" t="n"/>
      <c r="K16" s="29" t="n"/>
      <c r="L16" s="29" t="n"/>
      <c r="M16" s="29" t="n"/>
      <c r="N16" s="42">
        <f>IF(E16&gt;0,(H16+I16+J16+K16)/E16,"")</f>
        <v/>
      </c>
      <c r="O16" s="43">
        <f>IF(E16&gt;0,K16/E16,"")</f>
        <v/>
      </c>
      <c r="P16" s="44">
        <f>IFERROR(VLOOKUP(D16,'Рубрики'!$B$5:$H$8,7,FALSE),"")</f>
        <v/>
      </c>
      <c r="Q16" s="41">
        <f>IF(E16="","",IF(E16&gt;=P16,"✅ так","❌ ні"))</f>
        <v/>
      </c>
      <c r="R16" s="25" t="n"/>
    </row>
    <row r="17">
      <c r="A17" s="25" t="n">
        <v>13</v>
      </c>
      <c r="B17" s="40">
        <f>'Сценарії'!B17</f>
        <v/>
      </c>
      <c r="C17" s="41">
        <f>'Сценарії'!F17</f>
        <v/>
      </c>
      <c r="D17" s="41">
        <f>'Сценарії'!E17</f>
        <v/>
      </c>
      <c r="E17" s="29" t="n"/>
      <c r="F17" s="25" t="n"/>
      <c r="G17" s="25" t="n"/>
      <c r="H17" s="29" t="n"/>
      <c r="I17" s="29" t="n"/>
      <c r="J17" s="29" t="n"/>
      <c r="K17" s="29" t="n"/>
      <c r="L17" s="29" t="n"/>
      <c r="M17" s="29" t="n"/>
      <c r="N17" s="42">
        <f>IF(E17&gt;0,(H17+I17+J17+K17)/E17,"")</f>
        <v/>
      </c>
      <c r="O17" s="43">
        <f>IF(E17&gt;0,K17/E17,"")</f>
        <v/>
      </c>
      <c r="P17" s="44">
        <f>IFERROR(VLOOKUP(D17,'Рубрики'!$B$5:$H$8,7,FALSE),"")</f>
        <v/>
      </c>
      <c r="Q17" s="41">
        <f>IF(E17="","",IF(E17&gt;=P17,"✅ так","❌ ні"))</f>
        <v/>
      </c>
      <c r="R17" s="25" t="n"/>
    </row>
    <row r="18">
      <c r="A18" s="25" t="n">
        <v>14</v>
      </c>
      <c r="B18" s="40">
        <f>'Сценарії'!B18</f>
        <v/>
      </c>
      <c r="C18" s="41">
        <f>'Сценарії'!F18</f>
        <v/>
      </c>
      <c r="D18" s="41">
        <f>'Сценарії'!E18</f>
        <v/>
      </c>
      <c r="E18" s="29" t="n"/>
      <c r="F18" s="25" t="n"/>
      <c r="G18" s="25" t="n"/>
      <c r="H18" s="29" t="n"/>
      <c r="I18" s="29" t="n"/>
      <c r="J18" s="29" t="n"/>
      <c r="K18" s="29" t="n"/>
      <c r="L18" s="29" t="n"/>
      <c r="M18" s="29" t="n"/>
      <c r="N18" s="42">
        <f>IF(E18&gt;0,(H18+I18+J18+K18)/E18,"")</f>
        <v/>
      </c>
      <c r="O18" s="43">
        <f>IF(E18&gt;0,K18/E18,"")</f>
        <v/>
      </c>
      <c r="P18" s="44">
        <f>IFERROR(VLOOKUP(D18,'Рубрики'!$B$5:$H$8,7,FALSE),"")</f>
        <v/>
      </c>
      <c r="Q18" s="41">
        <f>IF(E18="","",IF(E18&gt;=P18,"✅ так","❌ ні"))</f>
        <v/>
      </c>
      <c r="R18" s="25" t="n"/>
    </row>
    <row r="19">
      <c r="A19" s="25" t="n">
        <v>15</v>
      </c>
      <c r="B19" s="40">
        <f>'Сценарії'!B19</f>
        <v/>
      </c>
      <c r="C19" s="41">
        <f>'Сценарії'!F19</f>
        <v/>
      </c>
      <c r="D19" s="41">
        <f>'Сценарії'!E19</f>
        <v/>
      </c>
      <c r="E19" s="29" t="n"/>
      <c r="F19" s="25" t="n"/>
      <c r="G19" s="25" t="n"/>
      <c r="H19" s="29" t="n"/>
      <c r="I19" s="29" t="n"/>
      <c r="J19" s="29" t="n"/>
      <c r="K19" s="29" t="n"/>
      <c r="L19" s="29" t="n"/>
      <c r="M19" s="29" t="n"/>
      <c r="N19" s="42">
        <f>IF(E19&gt;0,(H19+I19+J19+K19)/E19,"")</f>
        <v/>
      </c>
      <c r="O19" s="43">
        <f>IF(E19&gt;0,K19/E19,"")</f>
        <v/>
      </c>
      <c r="P19" s="44">
        <f>IFERROR(VLOOKUP(D19,'Рубрики'!$B$5:$H$8,7,FALSE),"")</f>
        <v/>
      </c>
      <c r="Q19" s="41">
        <f>IF(E19="","",IF(E19&gt;=P19,"✅ так","❌ ні"))</f>
        <v/>
      </c>
      <c r="R19" s="25" t="n"/>
    </row>
    <row r="20">
      <c r="A20" s="25" t="n">
        <v>16</v>
      </c>
      <c r="B20" s="40">
        <f>'Сценарії'!B20</f>
        <v/>
      </c>
      <c r="C20" s="41">
        <f>'Сценарії'!F20</f>
        <v/>
      </c>
      <c r="D20" s="41">
        <f>'Сценарії'!E20</f>
        <v/>
      </c>
      <c r="E20" s="29" t="n"/>
      <c r="F20" s="25" t="n"/>
      <c r="G20" s="25" t="n"/>
      <c r="H20" s="29" t="n"/>
      <c r="I20" s="29" t="n"/>
      <c r="J20" s="29" t="n"/>
      <c r="K20" s="29" t="n"/>
      <c r="L20" s="29" t="n"/>
      <c r="M20" s="29" t="n"/>
      <c r="N20" s="42">
        <f>IF(E20&gt;0,(H20+I20+J20+K20)/E20,"")</f>
        <v/>
      </c>
      <c r="O20" s="43">
        <f>IF(E20&gt;0,K20/E20,"")</f>
        <v/>
      </c>
      <c r="P20" s="44">
        <f>IFERROR(VLOOKUP(D20,'Рубрики'!$B$5:$H$8,7,FALSE),"")</f>
        <v/>
      </c>
      <c r="Q20" s="41">
        <f>IF(E20="","",IF(E20&gt;=P20,"✅ так","❌ ні"))</f>
        <v/>
      </c>
      <c r="R20" s="25" t="n"/>
    </row>
    <row r="22">
      <c r="C22" s="33" t="inlineStr">
        <is>
          <t>Підсумок по рубриках</t>
        </is>
      </c>
    </row>
    <row r="23">
      <c r="C23" s="45" t="inlineStr">
        <is>
          <t>Рубрика</t>
        </is>
      </c>
      <c r="D23" s="45" t="inlineStr">
        <is>
          <t>Опубліковано</t>
        </is>
      </c>
      <c r="E23" s="45" t="inlineStr">
        <is>
          <t>Сер. перегляди</t>
        </is>
      </c>
      <c r="F23" s="45" t="inlineStr">
        <is>
          <t>Сер. ER</t>
        </is>
      </c>
      <c r="G23" s="45" t="inlineStr">
        <is>
          <t>Сер. поширення</t>
        </is>
      </c>
    </row>
    <row r="24">
      <c r="C24" s="46">
        <f>'Рубрики'!B5</f>
        <v/>
      </c>
      <c r="D24" s="46">
        <f>COUNTIFS($D$5:$D$20,C24,$E$5:$E$20,"&gt;0")</f>
        <v/>
      </c>
      <c r="E24" s="47">
        <f>IFERROR(AVERAGEIFS($E$5:$E$20,$D$5:$D$20,C24,$E$5:$E$20,"&gt;0"),"")</f>
        <v/>
      </c>
      <c r="F24" s="48">
        <f>IFERROR(AVERAGEIFS($N$5:$N$20,$D$5:$D$20,C24,$E$5:$E$20,"&gt;0"),"")</f>
        <v/>
      </c>
      <c r="G24" s="49">
        <f>IFERROR(AVERAGEIFS($O$5:$O$20,$D$5:$D$20,C24,$E$5:$E$20,"&gt;0"),"")</f>
        <v/>
      </c>
    </row>
    <row r="25">
      <c r="C25" s="46">
        <f>'Рубрики'!B6</f>
        <v/>
      </c>
      <c r="D25" s="46">
        <f>COUNTIFS($D$5:$D$20,C25,$E$5:$E$20,"&gt;0")</f>
        <v/>
      </c>
      <c r="E25" s="47">
        <f>IFERROR(AVERAGEIFS($E$5:$E$20,$D$5:$D$20,C25,$E$5:$E$20,"&gt;0"),"")</f>
        <v/>
      </c>
      <c r="F25" s="48">
        <f>IFERROR(AVERAGEIFS($N$5:$N$20,$D$5:$D$20,C25,$E$5:$E$20,"&gt;0"),"")</f>
        <v/>
      </c>
      <c r="G25" s="49">
        <f>IFERROR(AVERAGEIFS($O$5:$O$20,$D$5:$D$20,C25,$E$5:$E$20,"&gt;0"),"")</f>
        <v/>
      </c>
    </row>
    <row r="26">
      <c r="C26" s="46">
        <f>'Рубрики'!B7</f>
        <v/>
      </c>
      <c r="D26" s="46">
        <f>COUNTIFS($D$5:$D$20,C26,$E$5:$E$20,"&gt;0")</f>
        <v/>
      </c>
      <c r="E26" s="47">
        <f>IFERROR(AVERAGEIFS($E$5:$E$20,$D$5:$D$20,C26,$E$5:$E$20,"&gt;0"),"")</f>
        <v/>
      </c>
      <c r="F26" s="48">
        <f>IFERROR(AVERAGEIFS($N$5:$N$20,$D$5:$D$20,C26,$E$5:$E$20,"&gt;0"),"")</f>
        <v/>
      </c>
      <c r="G26" s="49">
        <f>IFERROR(AVERAGEIFS($O$5:$O$20,$D$5:$D$20,C26,$E$5:$E$20,"&gt;0"),"")</f>
        <v/>
      </c>
    </row>
    <row r="27">
      <c r="C27" s="46">
        <f>'Рубрики'!B8</f>
        <v/>
      </c>
      <c r="D27" s="46">
        <f>COUNTIFS($D$5:$D$20,C27,$E$5:$E$20,"&gt;0")</f>
        <v/>
      </c>
      <c r="E27" s="47">
        <f>IFERROR(AVERAGEIFS($E$5:$E$20,$D$5:$D$20,C27,$E$5:$E$20,"&gt;0"),"")</f>
        <v/>
      </c>
      <c r="F27" s="48">
        <f>IFERROR(AVERAGEIFS($N$5:$N$20,$D$5:$D$20,C27,$E$5:$E$20,"&gt;0"),"")</f>
        <v/>
      </c>
      <c r="G27" s="49">
        <f>IFERROR(AVERAGEIFS($O$5:$O$20,$D$5:$D$20,C27,$E$5:$E$20,"&gt;0"),"")</f>
        <v/>
      </c>
    </row>
  </sheetData>
  <mergeCells count="2">
    <mergeCell ref="A2:R2"/>
    <mergeCell ref="A1:R1"/>
  </mergeCells>
  <conditionalFormatting sqref="D5:D20">
    <cfRule type="expression" priority="1" dxfId="0">
      <formula>ISNUMBER(SEARCH("Камінь у руках",$D5))</formula>
    </cfRule>
    <cfRule type="expression" priority="2" dxfId="1">
      <formula>ISNUMBER(SEARCH("Як це зроблено",$D5))</formula>
    </cfRule>
    <cfRule type="expression" priority="3" dxfId="2">
      <formula>ISNUMBER(SEARCH("Річ у ділі",$D5))</formula>
    </cfRule>
    <cfRule type="expression" priority="4" dxfId="3">
      <formula>ISNUMBER(SEARCH("Вау-масштаб",$D5))</formula>
    </cfRule>
  </conditionalFormatting>
  <conditionalFormatting sqref="C24:C27">
    <cfRule type="expression" priority="5" dxfId="0">
      <formula>ISNUMBER(SEARCH("Камінь у руках",$C24))</formula>
    </cfRule>
    <cfRule type="expression" priority="6" dxfId="1">
      <formula>ISNUMBER(SEARCH("Як це зроблено",$C24))</formula>
    </cfRule>
    <cfRule type="expression" priority="7" dxfId="2">
      <formula>ISNUMBER(SEARCH("Річ у ділі",$C24))</formula>
    </cfRule>
    <cfRule type="expression" priority="8" dxfId="3">
      <formula>ISNUMBER(SEARCH("Вау-масштаб",$C24))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