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ендар" sheetId="1" state="visible" r:id="rId1"/>
    <sheet name="Сценарії" sheetId="2" state="visible" r:id="rId2"/>
    <sheet name="Рубрики" sheetId="3" state="visible" r:id="rId3"/>
    <sheet name="Свята" sheetId="4" state="visible" r:id="rId4"/>
    <sheet name="Референси" sheetId="5" state="visible" r:id="rId5"/>
    <sheet name="Замір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"/>
    <numFmt numFmtId="165" formatCode="yyyy-mm-dd"/>
    <numFmt numFmtId="166" formatCode="dd.mm"/>
    <numFmt numFmtId="167" formatCode="# ##0"/>
    <numFmt numFmtId="168" formatCode="dd.mm.yyyy"/>
    <numFmt numFmtId="169" formatCode="0.0%"/>
  </numFmts>
  <fonts count="25">
    <font>
      <name val="Calibri"/>
      <family val="2"/>
      <color theme="1"/>
      <sz val="11"/>
      <scheme val="minor"/>
    </font>
    <font>
      <name val="Lexend"/>
      <b val="1"/>
      <color rgb="00555555"/>
      <sz val="54"/>
    </font>
    <font>
      <name val="Lexend"/>
      <b val="1"/>
      <color rgb="00BDBDBD"/>
      <sz val="44"/>
    </font>
    <font>
      <name val="Lexend"/>
      <color rgb="008C8C8C"/>
      <sz val="10"/>
    </font>
    <font>
      <name val="Lexend"/>
      <color rgb="006B6B6B"/>
      <sz val="9"/>
    </font>
    <font>
      <name val="Lexend"/>
      <color rgb="005A5A5A"/>
      <sz val="20"/>
    </font>
    <font>
      <name val="Lexend"/>
      <b val="1"/>
      <color rgb="00B5452B"/>
      <sz val="8"/>
    </font>
    <font>
      <name val="Lexend"/>
      <b val="1"/>
      <color rgb="004A4A4A"/>
      <sz val="8"/>
    </font>
    <font>
      <name val="Lexend"/>
      <b val="1"/>
      <color rgb="008C8C8C"/>
      <sz val="8"/>
    </font>
    <font>
      <name val="Lexend"/>
      <b val="1"/>
      <color rgb="007A5200"/>
      <sz val="8"/>
    </font>
    <font>
      <name val="Lexend"/>
      <b val="1"/>
      <color rgb="002F5A2A"/>
      <sz val="8"/>
    </font>
    <font>
      <name val="Lexend"/>
      <b val="1"/>
      <color rgb="001F4E79"/>
      <sz val="8"/>
    </font>
    <font>
      <name val="Lexend"/>
      <b val="1"/>
      <color rgb="008A3B12"/>
      <sz val="8"/>
    </font>
    <font>
      <name val="Lexend"/>
      <i val="1"/>
      <color rgb="008C8C8C"/>
      <sz val="8"/>
    </font>
    <font>
      <name val="Lexend"/>
      <b val="1"/>
      <color rgb="00555555"/>
      <sz val="22"/>
    </font>
    <font>
      <name val="Lexend"/>
      <color rgb="008C8C8C"/>
      <sz val="9"/>
    </font>
    <font>
      <name val="Lexend"/>
      <b val="1"/>
      <color rgb="00FFFFFF"/>
      <sz val="9"/>
    </font>
    <font>
      <name val="Lexend"/>
      <color rgb="004A4A4A"/>
      <sz val="9"/>
    </font>
    <font>
      <name val="Lexend"/>
      <b val="1"/>
      <color rgb="004A4A4A"/>
      <sz val="9"/>
    </font>
    <font>
      <name val="Lexend"/>
      <b val="1"/>
      <color rgb="007A5200"/>
      <sz val="9"/>
    </font>
    <font>
      <name val="Lexend"/>
      <b val="1"/>
      <color rgb="002F5A2A"/>
      <sz val="9"/>
    </font>
    <font>
      <name val="Lexend"/>
      <b val="1"/>
      <color rgb="001F4E79"/>
      <sz val="9"/>
    </font>
    <font>
      <name val="Lexend"/>
      <b val="1"/>
      <color rgb="008A3B12"/>
      <sz val="9"/>
    </font>
    <font>
      <name val="Lexend"/>
      <b val="1"/>
      <color rgb="00555555"/>
      <sz val="12"/>
    </font>
    <font>
      <name val="Lexend"/>
      <b val="1"/>
      <color rgb="00B5452B"/>
      <sz val="9"/>
    </font>
  </fonts>
  <fills count="8">
    <fill>
      <patternFill/>
    </fill>
    <fill>
      <patternFill patternType="gray125"/>
    </fill>
    <fill>
      <patternFill patternType="solid">
        <fgColor rgb="00FFF1CC"/>
        <bgColor rgb="00FFF1CC"/>
      </patternFill>
    </fill>
    <fill>
      <patternFill patternType="solid">
        <fgColor rgb="00E3EFE0"/>
        <bgColor rgb="00E3EFE0"/>
      </patternFill>
    </fill>
    <fill>
      <patternFill patternType="solid">
        <fgColor rgb="00DDEBF7"/>
        <bgColor rgb="00DDEBF7"/>
      </patternFill>
    </fill>
    <fill>
      <patternFill patternType="solid">
        <fgColor rgb="00FBE0CF"/>
        <bgColor rgb="00FBE0CF"/>
      </patternFill>
    </fill>
    <fill>
      <patternFill patternType="solid">
        <fgColor rgb="005A5A5A"/>
        <bgColor rgb="005A5A5A"/>
      </patternFill>
    </fill>
    <fill>
      <patternFill patternType="solid">
        <fgColor rgb="00F3F3F3"/>
        <bgColor rgb="00F3F3F3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top"/>
    </xf>
    <xf numFmtId="0" fontId="6" fillId="0" borderId="3" applyAlignment="1" pivotButton="0" quotePrefix="0" xfId="0">
      <alignment horizontal="left" vertical="top" wrapText="1"/>
    </xf>
    <xf numFmtId="0" fontId="7" fillId="0" borderId="4" applyAlignment="1" pivotButton="0" quotePrefix="0" xfId="0">
      <alignment horizontal="left" vertical="top" wrapText="1"/>
    </xf>
    <xf numFmtId="0" fontId="8" fillId="0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top" wrapText="1"/>
    </xf>
    <xf numFmtId="0" fontId="16" fillId="6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top" wrapText="1"/>
    </xf>
    <xf numFmtId="166" fontId="17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9" fillId="2" borderId="1" applyAlignment="1" pivotButton="0" quotePrefix="0" xfId="0">
      <alignment horizontal="left" vertical="top" wrapText="1"/>
    </xf>
    <xf numFmtId="167" fontId="17" fillId="0" borderId="1" applyAlignment="1" pivotButton="0" quotePrefix="0" xfId="0">
      <alignment horizontal="left" vertical="top" wrapText="1"/>
    </xf>
    <xf numFmtId="0" fontId="20" fillId="3" borderId="1" applyAlignment="1" pivotButton="0" quotePrefix="0" xfId="0">
      <alignment horizontal="left" vertical="top" wrapText="1"/>
    </xf>
    <xf numFmtId="0" fontId="21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23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 wrapText="1"/>
    </xf>
    <xf numFmtId="168" fontId="17" fillId="0" borderId="1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169" fontId="17" fillId="0" borderId="1" applyAlignment="1" pivotButton="0" quotePrefix="0" xfId="0">
      <alignment horizontal="left" vertical="top" wrapText="1"/>
    </xf>
    <xf numFmtId="10" fontId="17" fillId="0" borderId="1" applyAlignment="1" pivotButton="0" quotePrefix="0" xfId="0">
      <alignment horizontal="left" vertical="top" wrapText="1"/>
    </xf>
    <xf numFmtId="0" fontId="17" fillId="7" borderId="1" applyAlignment="1" pivotButton="0" quotePrefix="0" xfId="0">
      <alignment horizontal="left" vertical="top" wrapText="1"/>
    </xf>
    <xf numFmtId="166" fontId="17" fillId="7" borderId="1" applyAlignment="1" pivotButton="0" quotePrefix="0" xfId="0">
      <alignment horizontal="left" vertical="top" wrapText="1"/>
    </xf>
    <xf numFmtId="169" fontId="17" fillId="7" borderId="1" applyAlignment="1" pivotButton="0" quotePrefix="0" xfId="0">
      <alignment horizontal="left" vertical="top" wrapText="1"/>
    </xf>
    <xf numFmtId="10" fontId="17" fillId="7" borderId="1" applyAlignment="1" pivotButton="0" quotePrefix="0" xfId="0">
      <alignment horizontal="left" vertical="top" wrapText="1"/>
    </xf>
    <xf numFmtId="167" fontId="17" fillId="7" borderId="1" applyAlignment="1" pivotButton="0" quotePrefix="0" xfId="0">
      <alignment horizontal="left" vertical="top" wrapText="1"/>
    </xf>
    <xf numFmtId="0" fontId="16" fillId="6" borderId="1" pivotButton="0" quotePrefix="0" xfId="0"/>
    <xf numFmtId="0" fontId="17" fillId="7" borderId="1" pivotButton="0" quotePrefix="0" xfId="0"/>
    <xf numFmtId="167" fontId="17" fillId="7" borderId="1" pivotButton="0" quotePrefix="0" xfId="0"/>
    <xf numFmtId="169" fontId="17" fillId="7" borderId="1" pivotButton="0" quotePrefix="0" xfId="0"/>
    <xf numFmtId="10" fontId="17" fillId="7" borderId="1" pivotButton="0" quotePrefix="0" xfId="0"/>
  </cellXfs>
  <cellStyles count="1">
    <cellStyle name="Normal" xfId="0" builtinId="0" hidden="0"/>
  </cellStyles>
  <dxfs count="5">
    <dxf>
      <font>
        <color rgb="007A5200"/>
      </font>
      <fill>
        <patternFill patternType="solid">
          <fgColor rgb="00FFF1CC"/>
          <bgColor rgb="00FFF1CC"/>
        </patternFill>
      </fill>
    </dxf>
    <dxf>
      <font>
        <color rgb="002F5A2A"/>
      </font>
      <fill>
        <patternFill patternType="solid">
          <fgColor rgb="00E3EFE0"/>
          <bgColor rgb="00E3EFE0"/>
        </patternFill>
      </fill>
    </dxf>
    <dxf>
      <font>
        <color rgb="001F4E79"/>
      </font>
      <fill>
        <patternFill patternType="solid">
          <fgColor rgb="00DDEBF7"/>
          <bgColor rgb="00DDEBF7"/>
        </patternFill>
      </fill>
    </dxf>
    <dxf>
      <font>
        <color rgb="008A3B12"/>
      </font>
      <fill>
        <patternFill patternType="solid">
          <fgColor rgb="00FBE0CF"/>
          <bgColor rgb="00FBE0CF"/>
        </patternFill>
      </fill>
    </dxf>
    <dxf>
      <font>
        <color rgb="00274E13"/>
      </font>
      <fill>
        <patternFill patternType="solid">
          <fgColor rgb="00D9EAD3"/>
          <b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" customWidth="1" min="9" max="9"/>
  </cols>
  <sheetData>
    <row r="1" ht="10" customHeight="1"/>
    <row r="2" ht="78" customHeight="1">
      <c r="B2" s="1" t="inlineStr">
        <is>
          <t>Жовтень</t>
        </is>
      </c>
      <c r="F2" s="2" t="inlineStr">
        <is>
          <t>2026</t>
        </is>
      </c>
    </row>
    <row r="3" ht="24" customHeight="1">
      <c r="B3" s="3" t="inlineStr">
        <is>
          <t>TikTok · Amber Galbin · 4 відео на тиждень · Пн 09:00 · Ср 21:00 · Пт 21:00 · Нд 11:00</t>
        </is>
      </c>
    </row>
    <row r="4" ht="8" customHeight="1"/>
    <row r="5" ht="28" customHeight="1">
      <c r="B5" s="4" t="inlineStr">
        <is>
          <t>ПОНЕДІЛОК</t>
        </is>
      </c>
      <c r="C5" s="4" t="inlineStr">
        <is>
          <t>ВІВТОРОК</t>
        </is>
      </c>
      <c r="D5" s="4" t="inlineStr">
        <is>
          <t>СЕРЕДА</t>
        </is>
      </c>
      <c r="E5" s="4" t="inlineStr">
        <is>
          <t>ЧЕТВЕР</t>
        </is>
      </c>
      <c r="F5" s="4" t="inlineStr">
        <is>
          <t>П’ЯТНИЦЯ</t>
        </is>
      </c>
      <c r="G5" s="4" t="inlineStr">
        <is>
          <t>СУБОТА</t>
        </is>
      </c>
      <c r="H5" s="4" t="inlineStr">
        <is>
          <t>НЕДІЛЯ</t>
        </is>
      </c>
    </row>
    <row r="6" ht="34" customHeight="1">
      <c r="B6" s="5" t="n"/>
      <c r="C6" s="5" t="n"/>
      <c r="D6" s="5" t="n"/>
      <c r="E6" s="5" t="n">
        <v>46296</v>
      </c>
      <c r="F6" s="5" t="n">
        <v>46297</v>
      </c>
      <c r="G6" s="5" t="n">
        <v>46298</v>
      </c>
      <c r="H6" s="5" t="n">
        <v>46299</v>
      </c>
    </row>
    <row r="7" ht="26" customHeight="1">
      <c r="B7" s="6">
        <f>IFERROR(VLOOKUP(B6,'Свята'!$A$5:$B$30,2,FALSE),"")</f>
        <v/>
      </c>
      <c r="C7" s="6">
        <f>IFERROR(VLOOKUP(C6,'Свята'!$A$5:$B$30,2,FALSE),"")</f>
        <v/>
      </c>
      <c r="D7" s="6">
        <f>IFERROR(VLOOKUP(D6,'Свята'!$A$5:$B$30,2,FALSE),"")</f>
        <v/>
      </c>
      <c r="E7" s="6">
        <f>IFERROR(VLOOKUP(E6,'Свята'!$A$5:$B$30,2,FALSE),"")</f>
        <v/>
      </c>
      <c r="F7" s="6">
        <f>IFERROR(VLOOKUP(F6,'Свята'!$A$5:$B$30,2,FALSE),"")</f>
        <v/>
      </c>
      <c r="G7" s="6">
        <f>IFERROR(VLOOKUP(G6,'Свята'!$A$5:$B$30,2,FALSE),"")</f>
        <v/>
      </c>
      <c r="H7" s="6">
        <f>IFERROR(VLOOKUP(H6,'Свята'!$A$5:$B$30,2,FALSE),"")</f>
        <v/>
      </c>
    </row>
    <row r="8" ht="72" customHeight="1">
      <c r="B8" s="7">
        <f>IFERROR(INDEX('Сценарії'!$E$5:$E$40,MATCH(B6,'Сценарії'!$B$5:$B$40,0))&amp;"  ·  "&amp;INDEX('Сценарії'!$D$5:$D$40,MATCH(B6,'Сценарії'!$B$5:$B$40,0))&amp;CHAR(10)&amp;INDEX('Сценарії'!$F$5:$F$40,MATCH(B6,'Сценарії'!$B$5:$B$40,0)),"")</f>
        <v/>
      </c>
      <c r="C8" s="7">
        <f>IFERROR(INDEX('Сценарії'!$E$5:$E$40,MATCH(C6,'Сценарії'!$B$5:$B$40,0))&amp;"  ·  "&amp;INDEX('Сценарії'!$D$5:$D$40,MATCH(C6,'Сценарії'!$B$5:$B$40,0))&amp;CHAR(10)&amp;INDEX('Сценарії'!$F$5:$F$40,MATCH(C6,'Сценарії'!$B$5:$B$40,0)),"")</f>
        <v/>
      </c>
      <c r="D8" s="7">
        <f>IFERROR(INDEX('Сценарії'!$E$5:$E$40,MATCH(D6,'Сценарії'!$B$5:$B$40,0))&amp;"  ·  "&amp;INDEX('Сценарії'!$D$5:$D$40,MATCH(D6,'Сценарії'!$B$5:$B$40,0))&amp;CHAR(10)&amp;INDEX('Сценарії'!$F$5:$F$40,MATCH(D6,'Сценарії'!$B$5:$B$40,0)),"")</f>
        <v/>
      </c>
      <c r="E8" s="7">
        <f>IFERROR(INDEX('Сценарії'!$E$5:$E$40,MATCH(E6,'Сценарії'!$B$5:$B$40,0))&amp;"  ·  "&amp;INDEX('Сценарії'!$D$5:$D$40,MATCH(E6,'Сценарії'!$B$5:$B$40,0))&amp;CHAR(10)&amp;INDEX('Сценарії'!$F$5:$F$40,MATCH(E6,'Сценарії'!$B$5:$B$40,0)),"")</f>
        <v/>
      </c>
      <c r="F8" s="7">
        <f>IFERROR(INDEX('Сценарії'!$E$5:$E$40,MATCH(F6,'Сценарії'!$B$5:$B$40,0))&amp;"  ·  "&amp;INDEX('Сценарії'!$D$5:$D$40,MATCH(F6,'Сценарії'!$B$5:$B$40,0))&amp;CHAR(10)&amp;INDEX('Сценарії'!$F$5:$F$40,MATCH(F6,'Сценарії'!$B$5:$B$40,0)),"")</f>
        <v/>
      </c>
      <c r="G8" s="7">
        <f>IFERROR(INDEX('Сценарії'!$E$5:$E$40,MATCH(G6,'Сценарії'!$B$5:$B$40,0))&amp;"  ·  "&amp;INDEX('Сценарії'!$D$5:$D$40,MATCH(G6,'Сценарії'!$B$5:$B$40,0))&amp;CHAR(10)&amp;INDEX('Сценарії'!$F$5:$F$40,MATCH(G6,'Сценарії'!$B$5:$B$40,0)),"")</f>
        <v/>
      </c>
      <c r="H8" s="7">
        <f>IFERROR(INDEX('Сценарії'!$E$5:$E$40,MATCH(H6,'Сценарії'!$B$5:$B$40,0))&amp;"  ·  "&amp;INDEX('Сценарії'!$D$5:$D$40,MATCH(H6,'Сценарії'!$B$5:$B$40,0))&amp;CHAR(10)&amp;INDEX('Сценарії'!$F$5:$F$40,MATCH(H6,'Сценарії'!$B$5:$B$40,0)),"")</f>
        <v/>
      </c>
    </row>
    <row r="9" ht="34" customHeight="1">
      <c r="B9" s="5" t="n">
        <v>46300</v>
      </c>
      <c r="C9" s="5" t="n">
        <v>46301</v>
      </c>
      <c r="D9" s="5" t="n">
        <v>46302</v>
      </c>
      <c r="E9" s="5" t="n">
        <v>46303</v>
      </c>
      <c r="F9" s="5" t="n">
        <v>46304</v>
      </c>
      <c r="G9" s="5" t="n">
        <v>46305</v>
      </c>
      <c r="H9" s="5" t="n">
        <v>46306</v>
      </c>
    </row>
    <row r="10" ht="26" customHeight="1">
      <c r="B10" s="6">
        <f>IFERROR(VLOOKUP(B9,'Свята'!$A$5:$B$30,2,FALSE),"")</f>
        <v/>
      </c>
      <c r="C10" s="6">
        <f>IFERROR(VLOOKUP(C9,'Свята'!$A$5:$B$30,2,FALSE),"")</f>
        <v/>
      </c>
      <c r="D10" s="6">
        <f>IFERROR(VLOOKUP(D9,'Свята'!$A$5:$B$30,2,FALSE),"")</f>
        <v/>
      </c>
      <c r="E10" s="6">
        <f>IFERROR(VLOOKUP(E9,'Свята'!$A$5:$B$30,2,FALSE),"")</f>
        <v/>
      </c>
      <c r="F10" s="6">
        <f>IFERROR(VLOOKUP(F9,'Свята'!$A$5:$B$30,2,FALSE),"")</f>
        <v/>
      </c>
      <c r="G10" s="6">
        <f>IFERROR(VLOOKUP(G9,'Свята'!$A$5:$B$30,2,FALSE),"")</f>
        <v/>
      </c>
      <c r="H10" s="6">
        <f>IFERROR(VLOOKUP(H9,'Свята'!$A$5:$B$30,2,FALSE),"")</f>
        <v/>
      </c>
    </row>
    <row r="11" ht="72" customHeight="1">
      <c r="B11" s="7">
        <f>IFERROR(INDEX('Сценарії'!$E$5:$E$40,MATCH(B9,'Сценарії'!$B$5:$B$40,0))&amp;"  ·  "&amp;INDEX('Сценарії'!$D$5:$D$40,MATCH(B9,'Сценарії'!$B$5:$B$40,0))&amp;CHAR(10)&amp;INDEX('Сценарії'!$F$5:$F$40,MATCH(B9,'Сценарії'!$B$5:$B$40,0)),"")</f>
        <v/>
      </c>
      <c r="C11" s="7">
        <f>IFERROR(INDEX('Сценарії'!$E$5:$E$40,MATCH(C9,'Сценарії'!$B$5:$B$40,0))&amp;"  ·  "&amp;INDEX('Сценарії'!$D$5:$D$40,MATCH(C9,'Сценарії'!$B$5:$B$40,0))&amp;CHAR(10)&amp;INDEX('Сценарії'!$F$5:$F$40,MATCH(C9,'Сценарії'!$B$5:$B$40,0)),"")</f>
        <v/>
      </c>
      <c r="D11" s="7">
        <f>IFERROR(INDEX('Сценарії'!$E$5:$E$40,MATCH(D9,'Сценарії'!$B$5:$B$40,0))&amp;"  ·  "&amp;INDEX('Сценарії'!$D$5:$D$40,MATCH(D9,'Сценарії'!$B$5:$B$40,0))&amp;CHAR(10)&amp;INDEX('Сценарії'!$F$5:$F$40,MATCH(D9,'Сценарії'!$B$5:$B$40,0)),"")</f>
        <v/>
      </c>
      <c r="E11" s="7">
        <f>IFERROR(INDEX('Сценарії'!$E$5:$E$40,MATCH(E9,'Сценарії'!$B$5:$B$40,0))&amp;"  ·  "&amp;INDEX('Сценарії'!$D$5:$D$40,MATCH(E9,'Сценарії'!$B$5:$B$40,0))&amp;CHAR(10)&amp;INDEX('Сценарії'!$F$5:$F$40,MATCH(E9,'Сценарії'!$B$5:$B$40,0)),"")</f>
        <v/>
      </c>
      <c r="F11" s="7">
        <f>IFERROR(INDEX('Сценарії'!$E$5:$E$40,MATCH(F9,'Сценарії'!$B$5:$B$40,0))&amp;"  ·  "&amp;INDEX('Сценарії'!$D$5:$D$40,MATCH(F9,'Сценарії'!$B$5:$B$40,0))&amp;CHAR(10)&amp;INDEX('Сценарії'!$F$5:$F$40,MATCH(F9,'Сценарії'!$B$5:$B$40,0)),"")</f>
        <v/>
      </c>
      <c r="G11" s="7">
        <f>IFERROR(INDEX('Сценарії'!$E$5:$E$40,MATCH(G9,'Сценарії'!$B$5:$B$40,0))&amp;"  ·  "&amp;INDEX('Сценарії'!$D$5:$D$40,MATCH(G9,'Сценарії'!$B$5:$B$40,0))&amp;CHAR(10)&amp;INDEX('Сценарії'!$F$5:$F$40,MATCH(G9,'Сценарії'!$B$5:$B$40,0)),"")</f>
        <v/>
      </c>
      <c r="H11" s="7">
        <f>IFERROR(INDEX('Сценарії'!$E$5:$E$40,MATCH(H9,'Сценарії'!$B$5:$B$40,0))&amp;"  ·  "&amp;INDEX('Сценарії'!$D$5:$D$40,MATCH(H9,'Сценарії'!$B$5:$B$40,0))&amp;CHAR(10)&amp;INDEX('Сценарії'!$F$5:$F$40,MATCH(H9,'Сценарії'!$B$5:$B$40,0)),"")</f>
        <v/>
      </c>
    </row>
    <row r="12" ht="34" customHeight="1">
      <c r="B12" s="5" t="n">
        <v>46307</v>
      </c>
      <c r="C12" s="5" t="n">
        <v>46308</v>
      </c>
      <c r="D12" s="5" t="n">
        <v>46309</v>
      </c>
      <c r="E12" s="5" t="n">
        <v>46310</v>
      </c>
      <c r="F12" s="5" t="n">
        <v>46311</v>
      </c>
      <c r="G12" s="5" t="n">
        <v>46312</v>
      </c>
      <c r="H12" s="5" t="n">
        <v>46313</v>
      </c>
    </row>
    <row r="13" ht="26" customHeight="1">
      <c r="B13" s="6">
        <f>IFERROR(VLOOKUP(B12,'Свята'!$A$5:$B$30,2,FALSE),"")</f>
        <v/>
      </c>
      <c r="C13" s="6">
        <f>IFERROR(VLOOKUP(C12,'Свята'!$A$5:$B$30,2,FALSE),"")</f>
        <v/>
      </c>
      <c r="D13" s="6">
        <f>IFERROR(VLOOKUP(D12,'Свята'!$A$5:$B$30,2,FALSE),"")</f>
        <v/>
      </c>
      <c r="E13" s="6">
        <f>IFERROR(VLOOKUP(E12,'Свята'!$A$5:$B$30,2,FALSE),"")</f>
        <v/>
      </c>
      <c r="F13" s="6">
        <f>IFERROR(VLOOKUP(F12,'Свята'!$A$5:$B$30,2,FALSE),"")</f>
        <v/>
      </c>
      <c r="G13" s="6">
        <f>IFERROR(VLOOKUP(G12,'Свята'!$A$5:$B$30,2,FALSE),"")</f>
        <v/>
      </c>
      <c r="H13" s="6">
        <f>IFERROR(VLOOKUP(H12,'Свята'!$A$5:$B$30,2,FALSE),"")</f>
        <v/>
      </c>
    </row>
    <row r="14" ht="72" customHeight="1">
      <c r="B14" s="7">
        <f>IFERROR(INDEX('Сценарії'!$E$5:$E$40,MATCH(B12,'Сценарії'!$B$5:$B$40,0))&amp;"  ·  "&amp;INDEX('Сценарії'!$D$5:$D$40,MATCH(B12,'Сценарії'!$B$5:$B$40,0))&amp;CHAR(10)&amp;INDEX('Сценарії'!$F$5:$F$40,MATCH(B12,'Сценарії'!$B$5:$B$40,0)),"")</f>
        <v/>
      </c>
      <c r="C14" s="7">
        <f>IFERROR(INDEX('Сценарії'!$E$5:$E$40,MATCH(C12,'Сценарії'!$B$5:$B$40,0))&amp;"  ·  "&amp;INDEX('Сценарії'!$D$5:$D$40,MATCH(C12,'Сценарії'!$B$5:$B$40,0))&amp;CHAR(10)&amp;INDEX('Сценарії'!$F$5:$F$40,MATCH(C12,'Сценарії'!$B$5:$B$40,0)),"")</f>
        <v/>
      </c>
      <c r="D14" s="7">
        <f>IFERROR(INDEX('Сценарії'!$E$5:$E$40,MATCH(D12,'Сценарії'!$B$5:$B$40,0))&amp;"  ·  "&amp;INDEX('Сценарії'!$D$5:$D$40,MATCH(D12,'Сценарії'!$B$5:$B$40,0))&amp;CHAR(10)&amp;INDEX('Сценарії'!$F$5:$F$40,MATCH(D12,'Сценарії'!$B$5:$B$40,0)),"")</f>
        <v/>
      </c>
      <c r="E14" s="7">
        <f>IFERROR(INDEX('Сценарії'!$E$5:$E$40,MATCH(E12,'Сценарії'!$B$5:$B$40,0))&amp;"  ·  "&amp;INDEX('Сценарії'!$D$5:$D$40,MATCH(E12,'Сценарії'!$B$5:$B$40,0))&amp;CHAR(10)&amp;INDEX('Сценарії'!$F$5:$F$40,MATCH(E12,'Сценарії'!$B$5:$B$40,0)),"")</f>
        <v/>
      </c>
      <c r="F14" s="7">
        <f>IFERROR(INDEX('Сценарії'!$E$5:$E$40,MATCH(F12,'Сценарії'!$B$5:$B$40,0))&amp;"  ·  "&amp;INDEX('Сценарії'!$D$5:$D$40,MATCH(F12,'Сценарії'!$B$5:$B$40,0))&amp;CHAR(10)&amp;INDEX('Сценарії'!$F$5:$F$40,MATCH(F12,'Сценарії'!$B$5:$B$40,0)),"")</f>
        <v/>
      </c>
      <c r="G14" s="7">
        <f>IFERROR(INDEX('Сценарії'!$E$5:$E$40,MATCH(G12,'Сценарії'!$B$5:$B$40,0))&amp;"  ·  "&amp;INDEX('Сценарії'!$D$5:$D$40,MATCH(G12,'Сценарії'!$B$5:$B$40,0))&amp;CHAR(10)&amp;INDEX('Сценарії'!$F$5:$F$40,MATCH(G12,'Сценарії'!$B$5:$B$40,0)),"")</f>
        <v/>
      </c>
      <c r="H14" s="7">
        <f>IFERROR(INDEX('Сценарії'!$E$5:$E$40,MATCH(H12,'Сценарії'!$B$5:$B$40,0))&amp;"  ·  "&amp;INDEX('Сценарії'!$D$5:$D$40,MATCH(H12,'Сценарії'!$B$5:$B$40,0))&amp;CHAR(10)&amp;INDEX('Сценарії'!$F$5:$F$40,MATCH(H12,'Сценарії'!$B$5:$B$40,0)),"")</f>
        <v/>
      </c>
    </row>
    <row r="15" ht="34" customHeight="1">
      <c r="B15" s="5" t="n">
        <v>46314</v>
      </c>
      <c r="C15" s="5" t="n">
        <v>46315</v>
      </c>
      <c r="D15" s="5" t="n">
        <v>46316</v>
      </c>
      <c r="E15" s="5" t="n">
        <v>46317</v>
      </c>
      <c r="F15" s="5" t="n">
        <v>46318</v>
      </c>
      <c r="G15" s="5" t="n">
        <v>46319</v>
      </c>
      <c r="H15" s="5" t="n">
        <v>46320</v>
      </c>
    </row>
    <row r="16" ht="26" customHeight="1">
      <c r="B16" s="6">
        <f>IFERROR(VLOOKUP(B15,'Свята'!$A$5:$B$30,2,FALSE),"")</f>
        <v/>
      </c>
      <c r="C16" s="6">
        <f>IFERROR(VLOOKUP(C15,'Свята'!$A$5:$B$30,2,FALSE),"")</f>
        <v/>
      </c>
      <c r="D16" s="6">
        <f>IFERROR(VLOOKUP(D15,'Свята'!$A$5:$B$30,2,FALSE),"")</f>
        <v/>
      </c>
      <c r="E16" s="6">
        <f>IFERROR(VLOOKUP(E15,'Свята'!$A$5:$B$30,2,FALSE),"")</f>
        <v/>
      </c>
      <c r="F16" s="6">
        <f>IFERROR(VLOOKUP(F15,'Свята'!$A$5:$B$30,2,FALSE),"")</f>
        <v/>
      </c>
      <c r="G16" s="6">
        <f>IFERROR(VLOOKUP(G15,'Свята'!$A$5:$B$30,2,FALSE),"")</f>
        <v/>
      </c>
      <c r="H16" s="6">
        <f>IFERROR(VLOOKUP(H15,'Свята'!$A$5:$B$30,2,FALSE),"")</f>
        <v/>
      </c>
    </row>
    <row r="17" ht="72" customHeight="1">
      <c r="B17" s="7">
        <f>IFERROR(INDEX('Сценарії'!$E$5:$E$40,MATCH(B15,'Сценарії'!$B$5:$B$40,0))&amp;"  ·  "&amp;INDEX('Сценарії'!$D$5:$D$40,MATCH(B15,'Сценарії'!$B$5:$B$40,0))&amp;CHAR(10)&amp;INDEX('Сценарії'!$F$5:$F$40,MATCH(B15,'Сценарії'!$B$5:$B$40,0)),"")</f>
        <v/>
      </c>
      <c r="C17" s="7">
        <f>IFERROR(INDEX('Сценарії'!$E$5:$E$40,MATCH(C15,'Сценарії'!$B$5:$B$40,0))&amp;"  ·  "&amp;INDEX('Сценарії'!$D$5:$D$40,MATCH(C15,'Сценарії'!$B$5:$B$40,0))&amp;CHAR(10)&amp;INDEX('Сценарії'!$F$5:$F$40,MATCH(C15,'Сценарії'!$B$5:$B$40,0)),"")</f>
        <v/>
      </c>
      <c r="D17" s="7">
        <f>IFERROR(INDEX('Сценарії'!$E$5:$E$40,MATCH(D15,'Сценарії'!$B$5:$B$40,0))&amp;"  ·  "&amp;INDEX('Сценарії'!$D$5:$D$40,MATCH(D15,'Сценарії'!$B$5:$B$40,0))&amp;CHAR(10)&amp;INDEX('Сценарії'!$F$5:$F$40,MATCH(D15,'Сценарії'!$B$5:$B$40,0)),"")</f>
        <v/>
      </c>
      <c r="E17" s="7">
        <f>IFERROR(INDEX('Сценарії'!$E$5:$E$40,MATCH(E15,'Сценарії'!$B$5:$B$40,0))&amp;"  ·  "&amp;INDEX('Сценарії'!$D$5:$D$40,MATCH(E15,'Сценарії'!$B$5:$B$40,0))&amp;CHAR(10)&amp;INDEX('Сценарії'!$F$5:$F$40,MATCH(E15,'Сценарії'!$B$5:$B$40,0)),"")</f>
        <v/>
      </c>
      <c r="F17" s="7">
        <f>IFERROR(INDEX('Сценарії'!$E$5:$E$40,MATCH(F15,'Сценарії'!$B$5:$B$40,0))&amp;"  ·  "&amp;INDEX('Сценарії'!$D$5:$D$40,MATCH(F15,'Сценарії'!$B$5:$B$40,0))&amp;CHAR(10)&amp;INDEX('Сценарії'!$F$5:$F$40,MATCH(F15,'Сценарії'!$B$5:$B$40,0)),"")</f>
        <v/>
      </c>
      <c r="G17" s="7">
        <f>IFERROR(INDEX('Сценарії'!$E$5:$E$40,MATCH(G15,'Сценарії'!$B$5:$B$40,0))&amp;"  ·  "&amp;INDEX('Сценарії'!$D$5:$D$40,MATCH(G15,'Сценарії'!$B$5:$B$40,0))&amp;CHAR(10)&amp;INDEX('Сценарії'!$F$5:$F$40,MATCH(G15,'Сценарії'!$B$5:$B$40,0)),"")</f>
        <v/>
      </c>
      <c r="H17" s="7">
        <f>IFERROR(INDEX('Сценарії'!$E$5:$E$40,MATCH(H15,'Сценарії'!$B$5:$B$40,0))&amp;"  ·  "&amp;INDEX('Сценарії'!$D$5:$D$40,MATCH(H15,'Сценарії'!$B$5:$B$40,0))&amp;CHAR(10)&amp;INDEX('Сценарії'!$F$5:$F$40,MATCH(H15,'Сценарії'!$B$5:$B$40,0)),"")</f>
        <v/>
      </c>
    </row>
    <row r="18" ht="34" customHeight="1">
      <c r="B18" s="5" t="n">
        <v>46321</v>
      </c>
      <c r="C18" s="5" t="n">
        <v>46322</v>
      </c>
      <c r="D18" s="5" t="n">
        <v>46323</v>
      </c>
      <c r="E18" s="5" t="n">
        <v>46324</v>
      </c>
      <c r="F18" s="5" t="n">
        <v>46325</v>
      </c>
      <c r="G18" s="5" t="n">
        <v>46326</v>
      </c>
      <c r="H18" s="5" t="n"/>
    </row>
    <row r="19" ht="26" customHeight="1">
      <c r="B19" s="6">
        <f>IFERROR(VLOOKUP(B18,'Свята'!$A$5:$B$30,2,FALSE),"")</f>
        <v/>
      </c>
      <c r="C19" s="6">
        <f>IFERROR(VLOOKUP(C18,'Свята'!$A$5:$B$30,2,FALSE),"")</f>
        <v/>
      </c>
      <c r="D19" s="6">
        <f>IFERROR(VLOOKUP(D18,'Свята'!$A$5:$B$30,2,FALSE),"")</f>
        <v/>
      </c>
      <c r="E19" s="6">
        <f>IFERROR(VLOOKUP(E18,'Свята'!$A$5:$B$30,2,FALSE),"")</f>
        <v/>
      </c>
      <c r="F19" s="6">
        <f>IFERROR(VLOOKUP(F18,'Свята'!$A$5:$B$30,2,FALSE),"")</f>
        <v/>
      </c>
      <c r="G19" s="6">
        <f>IFERROR(VLOOKUP(G18,'Свята'!$A$5:$B$30,2,FALSE),"")</f>
        <v/>
      </c>
      <c r="H19" s="6">
        <f>IFERROR(VLOOKUP(H18,'Свята'!$A$5:$B$30,2,FALSE),"")</f>
        <v/>
      </c>
    </row>
    <row r="20" ht="72" customHeight="1">
      <c r="B20" s="7">
        <f>IFERROR(INDEX('Сценарії'!$E$5:$E$40,MATCH(B18,'Сценарії'!$B$5:$B$40,0))&amp;"  ·  "&amp;INDEX('Сценарії'!$D$5:$D$40,MATCH(B18,'Сценарії'!$B$5:$B$40,0))&amp;CHAR(10)&amp;INDEX('Сценарії'!$F$5:$F$40,MATCH(B18,'Сценарії'!$B$5:$B$40,0)),"")</f>
        <v/>
      </c>
      <c r="C20" s="7">
        <f>IFERROR(INDEX('Сценарії'!$E$5:$E$40,MATCH(C18,'Сценарії'!$B$5:$B$40,0))&amp;"  ·  "&amp;INDEX('Сценарії'!$D$5:$D$40,MATCH(C18,'Сценарії'!$B$5:$B$40,0))&amp;CHAR(10)&amp;INDEX('Сценарії'!$F$5:$F$40,MATCH(C18,'Сценарії'!$B$5:$B$40,0)),"")</f>
        <v/>
      </c>
      <c r="D20" s="7">
        <f>IFERROR(INDEX('Сценарії'!$E$5:$E$40,MATCH(D18,'Сценарії'!$B$5:$B$40,0))&amp;"  ·  "&amp;INDEX('Сценарії'!$D$5:$D$40,MATCH(D18,'Сценарії'!$B$5:$B$40,0))&amp;CHAR(10)&amp;INDEX('Сценарії'!$F$5:$F$40,MATCH(D18,'Сценарії'!$B$5:$B$40,0)),"")</f>
        <v/>
      </c>
      <c r="E20" s="7">
        <f>IFERROR(INDEX('Сценарії'!$E$5:$E$40,MATCH(E18,'Сценарії'!$B$5:$B$40,0))&amp;"  ·  "&amp;INDEX('Сценарії'!$D$5:$D$40,MATCH(E18,'Сценарії'!$B$5:$B$40,0))&amp;CHAR(10)&amp;INDEX('Сценарії'!$F$5:$F$40,MATCH(E18,'Сценарії'!$B$5:$B$40,0)),"")</f>
        <v/>
      </c>
      <c r="F20" s="7">
        <f>IFERROR(INDEX('Сценарії'!$E$5:$E$40,MATCH(F18,'Сценарії'!$B$5:$B$40,0))&amp;"  ·  "&amp;INDEX('Сценарії'!$D$5:$D$40,MATCH(F18,'Сценарії'!$B$5:$B$40,0))&amp;CHAR(10)&amp;INDEX('Сценарії'!$F$5:$F$40,MATCH(F18,'Сценарії'!$B$5:$B$40,0)),"")</f>
        <v/>
      </c>
      <c r="G20" s="7">
        <f>IFERROR(INDEX('Сценарії'!$E$5:$E$40,MATCH(G18,'Сценарії'!$B$5:$B$40,0))&amp;"  ·  "&amp;INDEX('Сценарії'!$D$5:$D$40,MATCH(G18,'Сценарії'!$B$5:$B$40,0))&amp;CHAR(10)&amp;INDEX('Сценарії'!$F$5:$F$40,MATCH(G18,'Сценарії'!$B$5:$B$40,0)),"")</f>
        <v/>
      </c>
      <c r="H20" s="7">
        <f>IFERROR(INDEX('Сценарії'!$E$5:$E$40,MATCH(H18,'Сценарії'!$B$5:$B$40,0))&amp;"  ·  "&amp;INDEX('Сценарії'!$D$5:$D$40,MATCH(H18,'Сценарії'!$B$5:$B$40,0))&amp;CHAR(10)&amp;INDEX('Сценарії'!$F$5:$F$40,MATCH(H18,'Сценарії'!$B$5:$B$40,0)),"")</f>
        <v/>
      </c>
    </row>
    <row r="22" ht="32" customHeight="1">
      <c r="B22" s="8" t="inlineStr">
        <is>
          <t>РУБРИКИ</t>
        </is>
      </c>
      <c r="C22" s="9" t="inlineStr">
        <is>
          <t>🪨 Камінь у руках
Пн · 09:00</t>
        </is>
      </c>
      <c r="D22" s="10" t="inlineStr">
        <is>
          <t>🔨 Як це зроблено
Ср · 21:00</t>
        </is>
      </c>
      <c r="E22" s="11" t="inlineStr">
        <is>
          <t>🎁 Річ у ділі
Пт · 21:00</t>
        </is>
      </c>
      <c r="F22" s="12" t="inlineStr">
        <is>
          <t>🔥 Вау-масштаб
Нд · 11:00</t>
        </is>
      </c>
      <c r="G22" s="13" t="inlineStr">
        <is>
          <t>Червоним — свята і
інфоприводи (вкладка «Свята»)</t>
        </is>
      </c>
    </row>
    <row r="24" ht="28" customHeight="1">
      <c r="B24" s="14" t="inlineStr">
        <is>
          <t>Календар заповнюється автоматично з вкладки «Сценарії» (рубрика, час, назва) і «Свята». Щоб перенести відео — змініть дату в «Сценаріях». Деталі кожного відео — там само.</t>
        </is>
      </c>
    </row>
  </sheetData>
  <mergeCells count="4">
    <mergeCell ref="B3:H3"/>
    <mergeCell ref="B24:H24"/>
    <mergeCell ref="F2:H2"/>
    <mergeCell ref="B2:E2"/>
  </mergeCells>
  <conditionalFormatting sqref="B6:H20">
    <cfRule type="expression" priority="1" dxfId="0">
      <formula>ISNUMBER(SEARCH("Камінь у руках",B6))</formula>
    </cfRule>
    <cfRule type="expression" priority="2" dxfId="1">
      <formula>ISNUMBER(SEARCH("Як це зроблено",B6))</formula>
    </cfRule>
    <cfRule type="expression" priority="3" dxfId="2">
      <formula>ISNUMBER(SEARCH("Річ у ділі",B6))</formula>
    </cfRule>
    <cfRule type="expression" priority="4" dxfId="3">
      <formula>ISNUMBER(SEARCH("Вау-масштаб",B6))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" customWidth="1" min="3" max="3"/>
    <col width="6" customWidth="1" min="4" max="4"/>
    <col width="17" customWidth="1" min="5" max="5"/>
    <col width="24" customWidth="1" min="6" max="6"/>
    <col width="20" customWidth="1" min="7" max="7"/>
    <col width="34" customWidth="1" min="8" max="8"/>
    <col width="30" customWidth="1" min="9" max="9"/>
    <col width="44" customWidth="1" min="10" max="10"/>
    <col width="9" customWidth="1" min="11" max="11"/>
    <col width="20" customWidth="1" min="12" max="12"/>
    <col width="30" customWidth="1" min="13" max="13"/>
    <col width="30" customWidth="1" min="14" max="14"/>
    <col width="34" customWidth="1" min="15" max="15"/>
    <col width="20" customWidth="1" min="16" max="16"/>
    <col width="22" customWidth="1" min="17" max="17"/>
    <col width="28" customWidth="1" min="18" max="18"/>
    <col width="14" customWidth="1" min="19" max="19"/>
    <col width="24" customWidth="1" min="20" max="20"/>
  </cols>
  <sheetData>
    <row r="1" ht="40" customHeight="1">
      <c r="A1" s="15" t="inlineStr">
        <is>
          <t>Сценарії TikTok · жовтень 2026</t>
        </is>
      </c>
    </row>
    <row r="2" ht="44" customHeight="1">
      <c r="A2" s="16" t="inlineStr">
        <is>
          <t>Тут живе весь контент. Змініть дату, час або назву — календар оновиться сам. Поля [__] заповнює клієнт. Статус обирайте зі списку.</t>
        </is>
      </c>
    </row>
    <row r="4" ht="34" customHeight="1">
      <c r="A4" s="17" t="inlineStr">
        <is>
          <t>№</t>
        </is>
      </c>
      <c r="B4" s="17" t="inlineStr">
        <is>
          <t>Дата</t>
        </is>
      </c>
      <c r="C4" s="17" t="inlineStr">
        <is>
          <t>День</t>
        </is>
      </c>
      <c r="D4" s="17" t="inlineStr">
        <is>
          <t>Час</t>
        </is>
      </c>
      <c r="E4" s="17" t="inlineStr">
        <is>
          <t>Рубрика</t>
        </is>
      </c>
      <c r="F4" s="17" t="inlineStr">
        <is>
          <t>Назва відео</t>
        </is>
      </c>
      <c r="G4" s="17" t="inlineStr">
        <is>
          <t>Свято / привід</t>
        </is>
      </c>
      <c r="H4" s="17" t="inlineStr">
        <is>
          <t>Суть відео</t>
        </is>
      </c>
      <c r="I4" s="17" t="inlineStr">
        <is>
          <t>Хук: перші 1–2 с і текст на екрані</t>
        </is>
      </c>
      <c r="J4" s="17" t="inlineStr">
        <is>
          <t>Розкадровка</t>
        </is>
      </c>
      <c r="K4" s="17" t="inlineStr">
        <is>
          <t>Тривалість</t>
        </is>
      </c>
      <c r="L4" s="17" t="inlineStr">
        <is>
          <t>Звук</t>
        </is>
      </c>
      <c r="M4" s="17" t="inlineStr">
        <is>
          <t>Опис і хештеги</t>
        </is>
      </c>
      <c r="N4" s="17" t="inlineStr">
        <is>
          <t>Закріплений коментар / заклик</t>
        </is>
      </c>
      <c r="O4" s="17" t="inlineStr">
        <is>
          <t>Мета: що дасть</t>
        </is>
      </c>
      <c r="P4" s="17" t="inlineStr">
        <is>
          <t>KPI-орієнтир</t>
        </is>
      </c>
      <c r="Q4" s="17" t="inlineStr">
        <is>
          <t>Референс</t>
        </is>
      </c>
      <c r="R4" s="17" t="inlineStr">
        <is>
          <t>Що потрібно для зйомки</t>
        </is>
      </c>
      <c r="S4" s="17" t="inlineStr">
        <is>
          <t>Статус</t>
        </is>
      </c>
      <c r="T4" s="17" t="inlineStr">
        <is>
          <t>Коментар клієнта</t>
        </is>
      </c>
    </row>
    <row r="5" ht="99.34999999999999" customHeight="1">
      <c r="A5" s="18" t="n">
        <v>1</v>
      </c>
      <c r="B5" s="19" t="n">
        <v>46300</v>
      </c>
      <c r="C5" s="18" t="inlineStr">
        <is>
          <t>Пн</t>
        </is>
      </c>
      <c r="D5" s="18" t="inlineStr">
        <is>
          <t>09:00</t>
        </is>
      </c>
      <c r="E5" s="18" t="inlineStr">
        <is>
          <t>🪨 Камінь у руках</t>
        </is>
      </c>
      <c r="F5" s="20" t="inlineStr">
        <is>
          <t>Скільки коштує цей камінь?</t>
        </is>
      </c>
      <c r="G5" s="21">
        <f>IFERROR(VLOOKUP(B5,'Свята'!$A$5:$B$30,2,FALSE),"")</f>
        <v/>
      </c>
      <c r="H5" s="18" t="inlineStr">
        <is>
          <t>Рука дістає з контейнера великі шматки сирцю і по черзі підносить до світла. Глядач вгадує ціну в коментарях — так типовий коментар «бачу в руках гроші» стає грою.</t>
        </is>
      </c>
      <c r="I5" s="18" t="inlineStr">
        <is>
          <t>Рука занурюється в повний контейнер і виносить до камери найбільший камінь.
Текст: «Скільки, по-вашому, коштує цей камінь?»</t>
        </is>
      </c>
      <c r="J5" s="18" t="inlineStr">
        <is>
          <t>0–2 с — контейнер, рука дістає найбільший камінь (хук)
2–8 с — 3 камені по черзі на світлі від вікна, повільний поворот
8–12 с — камінь на вагах, вага на екрані
12–14 с — камінь повертається в контейнер (кадр як на початку → петля)</t>
        </is>
      </c>
      <c r="K5" s="18" t="inlineStr">
        <is>
          <t>12–15 с</t>
        </is>
      </c>
      <c r="L5" s="18" t="inlineStr">
        <is>
          <t>Спокійний трек тихо + живий стукіт каміння</t>
        </is>
      </c>
      <c r="M5" s="18" t="inlineStr">
        <is>
          <t>Вгадаєте ціну? Відповідь — завтра в коментарях 👇 #ambergalbin #бурштин #сирець #рівне</t>
        </is>
      </c>
      <c r="N5" s="18" t="inlineStr">
        <is>
          <t>Пишіть свою ціну! Правильну відповідь закріпимо завтра. Каталог — посилання в профілі</t>
        </is>
      </c>
      <c r="O5" s="18" t="inlineStr">
        <is>
          <t>Повторюємо формат «камінь у руках» (27,6 тис.) і додаємо гру: коментарі піднімають ролик у «Для тебе». Збираємо питання про ціну для відео №7.</t>
        </is>
      </c>
      <c r="P5" s="18" t="inlineStr">
        <is>
          <t>≥10 тис. переглядів, ≥30 коментарів</t>
        </is>
      </c>
      <c r="Q5" s="18" t="inlineStr">
        <is>
          <t>«З камінням: необроблений бурштин»</t>
        </is>
      </c>
      <c r="R5" s="18" t="inlineStr">
        <is>
          <t>Контейнер сирцю, 3 великі камені, ваги, денне світло. Ціна каменю — [__] ₴ (від клієнта)</t>
        </is>
      </c>
      <c r="S5" s="18" t="inlineStr">
        <is>
          <t>Ідея</t>
        </is>
      </c>
      <c r="T5" s="18" t="inlineStr"/>
    </row>
    <row r="6" ht="112.4" customHeight="1">
      <c r="A6" s="18" t="n">
        <v>2</v>
      </c>
      <c r="B6" s="19" t="n">
        <v>46302</v>
      </c>
      <c r="C6" s="18" t="inlineStr">
        <is>
          <t>Ср</t>
        </is>
      </c>
      <c r="D6" s="18" t="inlineStr">
        <is>
          <t>21:00</t>
        </is>
      </c>
      <c r="E6" s="18" t="inlineStr">
        <is>
          <t>🔨 Як це зроблено</t>
        </is>
      </c>
      <c r="F6" s="20" t="inlineStr">
        <is>
          <t>Від сирцю до кулона за 15 секунд</t>
        </is>
      </c>
      <c r="G6" s="21">
        <f>IFERROR(VLOOKUP(B6,'Свята'!$A$5:$B$30,2,FALSE),"")</f>
        <v/>
      </c>
      <c r="H6" s="18" t="inlineStr">
        <is>
          <t>Один камінь проходить увесь шлях: сирий шматок → розпил → шліфування → полірування → свердління → готовий кулон. Монтаж у ритм, без пояснень.</t>
        </is>
      </c>
      <c r="I6" s="18" t="inlineStr">
        <is>
          <t>Брудний сирий камінь у долоні — різкий перехід на готовий сяючий кулон — «перемотка» назад.
Текст: «Цей камінь ми видобули самі»</t>
        </is>
      </c>
      <c r="J6" s="18" t="inlineStr">
        <is>
          <t>0–1 с — сирий камінь → флеш-кадр готового кулона
1–4 с — розпил, пил, руки майстра
4–8 с — шліфування на кругу, камінь світлішає
8–11 с — полірування, перший блиск
11–13 с — свердління / кріплення
13–15 с — кулон у долоні на світлі; текст «Від надр до прикраси — без посередників»</t>
        </is>
      </c>
      <c r="K6" s="18" t="inlineStr">
        <is>
          <t>15 с</t>
        </is>
      </c>
      <c r="L6" s="18" t="inlineStr">
        <is>
          <t>Ритмічний трек, монтаж на біт + живі звуки верстатів</t>
        </is>
      </c>
      <c r="M6" s="18" t="inlineStr">
        <is>
          <t>Від надр Рівненщини до вашої прикраси 🔥 #ambergalbin #бурштин #ручнаробота #якцезроблено</t>
        </is>
      </c>
      <c r="N6" s="18" t="inlineStr">
        <is>
          <t>Хочете побачити, як роблять браслет? Пишіть — знімемо. Кулони — посилання в профілі</t>
        </is>
      </c>
      <c r="O6" s="18" t="inlineStr">
        <is>
          <t>Показує головну перевагу бренду: видобувник і виробник в одному, звідси ціни виробника. Будує довіру і підписки.</t>
        </is>
      </c>
      <c r="P6" s="18" t="inlineStr">
        <is>
          <t>≥5 тис. переглядів, ≥15 нових підписників</t>
        </is>
      </c>
      <c r="Q6" s="18" t="inlineStr">
        <is>
          <t>«Один день на виробництві»</t>
        </is>
      </c>
      <c r="R6" s="18" t="inlineStr">
        <is>
          <t>Один камінь, проведений через усі етапи (1–2 год у майстерні), штатив</t>
        </is>
      </c>
      <c r="S6" s="18" t="inlineStr">
        <is>
          <t>Ідея</t>
        </is>
      </c>
      <c r="T6" s="18" t="inlineStr"/>
    </row>
    <row r="7" ht="99.34999999999999" customHeight="1">
      <c r="A7" s="18" t="n">
        <v>3</v>
      </c>
      <c r="B7" s="19" t="n">
        <v>46304</v>
      </c>
      <c r="C7" s="18" t="inlineStr">
        <is>
          <t>Пт</t>
        </is>
      </c>
      <c r="D7" s="18" t="inlineStr">
        <is>
          <t>21:00</t>
        </is>
      </c>
      <c r="E7" s="18" t="inlineStr">
        <is>
          <t>🎁 Річ у ділі</t>
        </is>
      </c>
      <c r="F7" s="20" t="inlineStr">
        <is>
          <t>Доміно, у яке справді грають</t>
        </is>
      </c>
      <c r="G7" s="21">
        <f>IFERROR(VLOOKUP(B7,'Свята'!$A$5:$B$30,2,FALSE),"")</f>
        <v/>
      </c>
      <c r="H7" s="18" t="inlineStr">
        <is>
          <t>Перезапуск доміно: не реклама коробки, а жива гра. Кісточки висипаються на стіл, двоє грають, фінальне «Риба!» — і скринька закривається.</t>
        </is>
      </c>
      <c r="I7" s="18" t="inlineStr">
        <is>
          <t>Кісточки з бурштину з гуркотом висипаються на стіл (звук!).
Текст: «Доміно, де кожна кісточка — бурштин»</t>
        </is>
      </c>
      <c r="J7" s="18" t="inlineStr">
        <is>
          <t>0–2 с — висипання кісточок крупно, звук
2–7 с — руки двох гравців, швидкі ходи, кісточки на світлі
7–10 с — макро кісточки: текстура бурштину
10–13 с — удар кісточкою: «Риба!»
13–15 с — кісточки складають у скриньку, кришка закривається, лого</t>
        </is>
      </c>
      <c r="K7" s="18" t="inlineStr">
        <is>
          <t>15 с</t>
        </is>
      </c>
      <c r="L7" s="18" t="inlineStr">
        <is>
          <t>Живий звук гри + легкий трек; «Риба!» голосом</t>
        </is>
      </c>
      <c r="M7" s="18" t="inlineStr">
        <is>
          <t>Подарунок, у який грають роками 🎲 Ціна — в закріпі #ambergalbin #доміно #подарунокчоловікові #бурштин</t>
        </is>
      </c>
      <c r="N7" s="18" t="inlineStr">
        <is>
          <t>Ціна набору — [__] ₴. Доставка по Україні. Замовити — посилання в профілі або Direct</t>
        </is>
      </c>
      <c r="O7" s="18" t="inlineStr">
        <is>
          <t>Продаж категорії «Настільні ігри» чоловічій аудиторії (64%). Виправляємо помилки референсу: старт із дії, ціна одразу.</t>
        </is>
      </c>
      <c r="P7" s="18" t="inlineStr">
        <is>
          <t>≥3 тис. переглядів, перегляди профілю ≥3%</t>
        </is>
      </c>
      <c r="Q7" s="18" t="inlineStr">
        <is>
          <t>«Доміно з бурштину»</t>
        </is>
      </c>
      <c r="R7" s="18" t="inlineStr">
        <is>
          <t>Набір доміно, 2 учасники (достатньо рук), дерев’яний стіл, ціна від клієнта</t>
        </is>
      </c>
      <c r="S7" s="18" t="inlineStr">
        <is>
          <t>Ідея</t>
        </is>
      </c>
      <c r="T7" s="18" t="inlineStr"/>
    </row>
    <row r="8" ht="112.4" customHeight="1">
      <c r="A8" s="18" t="n">
        <v>4</v>
      </c>
      <c r="B8" s="19" t="n">
        <v>46306</v>
      </c>
      <c r="C8" s="18" t="inlineStr">
        <is>
          <t>Нд</t>
        </is>
      </c>
      <c r="D8" s="18" t="inlineStr">
        <is>
          <t>11:00</t>
        </is>
      </c>
      <c r="E8" s="18" t="inlineStr">
        <is>
          <t>🔥 Вау-масштаб</t>
        </is>
      </c>
      <c r="F8" s="20" t="inlineStr">
        <is>
          <t>День художника: картина з бурштину, ч.2</t>
        </is>
      </c>
      <c r="G8" s="21">
        <f>IFERROR(VLOOKUP(B8,'Свята'!$A$5:$B$30,2,FALSE),"")</f>
        <v/>
      </c>
      <c r="H8" s="18" t="inlineStr">
        <is>
          <t>Продовження рекордного формату в День художника. Майстер піднімає зі столу велику картину чи ікону, розвертає до камери, камера наїжджає на деталі. У фіналі — питання, скільки в ній шматочків бурштину.</t>
        </is>
      </c>
      <c r="I8" s="18" t="inlineStr">
        <is>
          <t>Майстер береться за край роботи на столі і рвучко піднімає її.
Текст: «Ламаємо стереотипи про картини з бурштину🔥 ч.2»</t>
        </is>
      </c>
      <c r="J8" s="18" t="inlineStr">
        <is>
          <t>0–2 с — підйом роботи зі столу (як у референсі)
2–5 с — майстер тримає роботу перед собою, видно масштаб
5–10 с — макро: обличчя/очі, переливи на світлі, повільний рух камери
10–13 с — загальний план; текст «Скільки тут шматочків? 👇»</t>
        </is>
      </c>
      <c r="K8" s="18" t="inlineStr">
        <is>
          <t>12–14 с</t>
        </is>
      </c>
      <c r="L8" s="18" t="inlineStr">
        <is>
          <t>Той самий тип треку, що в референсі, без голосу</t>
        </is>
      </c>
      <c r="M8" s="18" t="inlineStr">
        <is>
          <t>З Днем художника всіх, хто творить 🎨 Картини з українського бурштину #ambergalbin #картиназбурштину #деньхудожника #рівне</t>
        </is>
      </c>
      <c r="N8" s="18" t="inlineStr">
        <is>
          <t>Правильна відповідь: [__] шматочків. Індивідуальні замовлення — посилання в профілі</t>
        </is>
      </c>
      <c r="O8" s="18" t="inlineStr">
        <is>
          <t>Рекордний формат (152,4 тис., 733 поширення) + інфопривід дня + гра в коментарях. Серія «ч.2, ч.3» привчає повертатися і підписуватися.</t>
        </is>
      </c>
      <c r="P8" s="18" t="inlineStr">
        <is>
          <t>≥20 тис. переглядів, поширення ≥0,4%</t>
        </is>
      </c>
      <c r="Q8" s="18" t="inlineStr">
        <is>
          <t>«Картину з бурштину — ефект вау»</t>
        </is>
      </c>
      <c r="R8" s="18" t="inlineStr">
        <is>
          <t>Велика картина/ікона, майстер у кадрі, світла майстерня, геотег Рівне, кількість шматочків від майстра</t>
        </is>
      </c>
      <c r="S8" s="18" t="inlineStr">
        <is>
          <t>Ідея</t>
        </is>
      </c>
      <c r="T8" s="18" t="inlineStr"/>
    </row>
    <row r="9" ht="86.3" customHeight="1">
      <c r="A9" s="18" t="n">
        <v>5</v>
      </c>
      <c r="B9" s="19" t="n">
        <v>46307</v>
      </c>
      <c r="C9" s="18" t="inlineStr">
        <is>
          <t>Пн</t>
        </is>
      </c>
      <c r="D9" s="18" t="inlineStr">
        <is>
          <t>09:00</t>
        </is>
      </c>
      <c r="E9" s="18" t="inlineStr">
        <is>
          <t>🪨 Камінь у руках</t>
        </is>
      </c>
      <c r="F9" s="20" t="inlineStr">
        <is>
          <t>ASMR: звук бурштину</t>
        </is>
      </c>
      <c r="G9" s="21">
        <f>IFERROR(VLOOKUP(B9,'Свята'!$A$5:$B$30,2,FALSE),"")</f>
        <v/>
      </c>
      <c r="H9" s="18" t="inlineStr">
        <is>
          <t>Сирий бурштин пересипається з долонь у скляну миску. Без тексту і музики — лише звук. Кадр зациклюється.</t>
        </is>
      </c>
      <c r="I9" s="18" t="inlineStr">
        <is>
          <t>Жменя каменів падає в миску крупним планом зі звуком. Без тексту.</t>
        </is>
      </c>
      <c r="J9" s="18" t="inlineStr">
        <is>
          <t>0–4 с — пересипання з долонь, крупно, мікрофон близько
4–9 с — пальці перебирають камені, світло крізь них
9–12 с — нова жменя (той самий рух, що на початку) → петля</t>
        </is>
      </c>
      <c r="K9" s="18" t="inlineStr">
        <is>
          <t>10–12 с</t>
        </is>
      </c>
      <c r="L9" s="18" t="inlineStr">
        <is>
          <t>Лише живий звук: тихе приміщення, мікрофон біля миски</t>
        </is>
      </c>
      <c r="M9" s="18" t="inlineStr">
        <is>
          <t>Звук бурштину 🎧 #ambergalbin #asmr #бурштин #сирець</t>
        </is>
      </c>
      <c r="N9" s="18" t="inlineStr">
        <is>
          <t>Ще більше процесів — у профілі</t>
        </is>
      </c>
      <c r="O9" s="18" t="inlineStr">
        <is>
          <t>Повторюємо ASMR-лідера (12,2 тис., 71% утримання, понад половина нових підписників тижня). Висока досмотрюваність штовхає ролик у «Для тебе».</t>
        </is>
      </c>
      <c r="P9" s="18" t="inlineStr">
        <is>
          <t>≥8 тис. переглядів, середній час ≥70%</t>
        </is>
      </c>
      <c r="Q9" s="18" t="inlineStr">
        <is>
          <t>ASMR 25.09 + «З камінням: необроблений бурштин»</t>
        </is>
      </c>
      <c r="R9" s="18" t="inlineStr">
        <is>
          <t>Сирець дрібної/середньої фракції, скляна миска, тиша, петличка</t>
        </is>
      </c>
      <c r="S9" s="18" t="inlineStr">
        <is>
          <t>Ідея</t>
        </is>
      </c>
      <c r="T9" s="18" t="inlineStr"/>
    </row>
    <row r="10" ht="86.3" customHeight="1">
      <c r="A10" s="18" t="n">
        <v>6</v>
      </c>
      <c r="B10" s="19" t="n">
        <v>46309</v>
      </c>
      <c r="C10" s="18" t="inlineStr">
        <is>
          <t>Ср</t>
        </is>
      </c>
      <c r="D10" s="18" t="inlineStr">
        <is>
          <t>21:00</t>
        </is>
      </c>
      <c r="E10" s="18" t="inlineStr">
        <is>
          <t>🔨 Як це зроблено</t>
        </is>
      </c>
      <c r="F10" s="20" t="inlineStr">
        <is>
          <t>Як ми робимо статуетку військової техніки</t>
        </is>
      </c>
      <c r="G10" s="21">
        <f>IFERROR(VLOOKUP(B10,'Свята'!$A$5:$B$30,2,FALSE),"")</f>
        <v/>
      </c>
      <c r="H10" s="18" t="inlineStr">
        <is>
          <t>Швидкими кадрами — створення статуетки (танк, літак чи корабель): від підбору каменів до готової фігури на підставці.</t>
        </is>
      </c>
      <c r="I10" s="18" t="inlineStr">
        <is>
          <t>Готова статуетка на 1 секунду, потім «перемотка» назад до купки каменів.
Текст: «Як з цих каменів виходить…»</t>
        </is>
      </c>
      <c r="J10" s="18" t="inlineStr">
        <is>
          <t>0–1 с — готова фігура → перемотка
1–4 с — підбір каменів за кольором
4–9 с — обробка деталей, збирання (крупно руки)
9–12 с — полірування
12–15 с — фігура на підставці, наїзд</t>
        </is>
      </c>
      <c r="K10" s="18" t="inlineStr">
        <is>
          <t>15 с</t>
        </is>
      </c>
      <c r="L10" s="18" t="inlineStr">
        <is>
          <t>Ритмічний трек, монтаж на біт</t>
        </is>
      </c>
      <c r="M10" s="18" t="inlineStr">
        <is>
          <t>Техніка, якій не потрібне пальне — тільки бурштин 🇺🇦 #ambergalbin #статуетка #ручнаробота #бурштин</t>
        </is>
      </c>
      <c r="N10" s="18" t="inlineStr">
        <is>
          <t>Статуетки «Військова техніка» — у каталозі, посилання в профілі</t>
        </is>
      </c>
      <c r="O10" s="18" t="inlineStr">
        <is>
          <t>Довіра через процес + тема, близька чоловічій аудиторії (64%). Категорія «Військова техніка» — подарунок військовим.</t>
        </is>
      </c>
      <c r="P10" s="18" t="inlineStr">
        <is>
          <t>≥5 тис. переглядів, ≥15 нових підписників</t>
        </is>
      </c>
      <c r="Q10" s="18" t="inlineStr">
        <is>
          <t>«Один день на виробництві»</t>
        </is>
      </c>
      <c r="R10" s="18" t="inlineStr">
        <is>
          <t>Процес виготовлення статуетки (2–3 етапи), ціна</t>
        </is>
      </c>
      <c r="S10" s="18" t="inlineStr">
        <is>
          <t>Ідея</t>
        </is>
      </c>
      <c r="T10" s="18" t="inlineStr"/>
    </row>
    <row r="11" ht="125.45" customHeight="1">
      <c r="A11" s="18" t="n">
        <v>7</v>
      </c>
      <c r="B11" s="19" t="n">
        <v>46311</v>
      </c>
      <c r="C11" s="18" t="inlineStr">
        <is>
          <t>Пт</t>
        </is>
      </c>
      <c r="D11" s="18" t="inlineStr">
        <is>
          <t>21:00</t>
        </is>
      </c>
      <c r="E11" s="18" t="inlineStr">
        <is>
          <t>🎁 Річ у ділі</t>
        </is>
      </c>
      <c r="F11" s="20" t="inlineStr">
        <is>
          <t>Відповідаю: скільки коштує бурштин?</t>
        </is>
      </c>
      <c r="G11" s="21">
        <f>IFERROR(VLOOKUP(B11,'Свята'!$A$5:$B$30,2,FALSE),"")</f>
        <v/>
      </c>
      <c r="H11" s="18" t="inlineStr">
        <is>
          <t>Відповідь на реальний коментар («боюся навіть питатись, скільки це…» або «Яка вартість…»). Три вироби від доступного до преміум з ціною на екрані. Закриваємо найчастіше питання і пошуковий запит.</t>
        </is>
      </c>
      <c r="I11" s="18" t="inlineStr">
        <is>
          <t>Картка коментаря на екрані.
Текст: «Відповідаю чесно 👇»</t>
        </is>
      </c>
      <c r="J11" s="18" t="inlineStr">
        <is>
          <t>0–2 с — картка коментаря (функція «Відповісти відео»)
2–6 с — кулон у долоні, ціна на екрані (від 150 ₴)
6–10 с — браслет на зап’ясті, ціна (від 800 ₴)
10–15 с — картина: «від [__] ₴ або під замовлення»
15–18 с — «Ціна залежить від: розміру · прозорості · обробки»</t>
        </is>
      </c>
      <c r="K11" s="18" t="inlineStr">
        <is>
          <t>18–22 с</t>
        </is>
      </c>
      <c r="L11" s="18" t="inlineStr">
        <is>
          <t>Голос майстра або консультанта + субтитри; фраза «скільки коштує бурштин» звучить уголос</t>
        </is>
      </c>
      <c r="M11" s="18" t="inlineStr">
        <is>
          <t>Скільки коштує бурштин? Від 150 ₴ до … #ambergalbin #скількикоштуєбурштин #бурштин #прикраси</t>
        </is>
      </c>
      <c r="N11" s="18" t="inlineStr">
        <is>
          <t>Каталог із цінами — посилання в профілі. Питайте ціну будь-якого виробу тут 👇</t>
        </is>
      </c>
      <c r="O11" s="18" t="inlineStr">
        <is>
          <t>Знімаємо ціновий бар’єр: під кожним референсом питають ціну. Ловимо пошуковий трафік і ведемо в каталог.</t>
        </is>
      </c>
      <c r="P11" s="18" t="inlineStr">
        <is>
          <t>≥4 тис. переглядів, перегляди профілю ≥4%</t>
        </is>
      </c>
      <c r="Q11" s="18" t="inlineStr">
        <is>
          <t>Коментарі під «Картину з бурштину — ефект вау» і «З камінням: необроблений бурштин»</t>
        </is>
      </c>
      <c r="R11" s="18" t="inlineStr">
        <is>
          <t>3 вироби, актуальні ціни від клієнта, реальний коментар для відповіді. Ціни 150/800 ₴ — з сайту, перевірити</t>
        </is>
      </c>
      <c r="S11" s="18" t="inlineStr">
        <is>
          <t>Ідея</t>
        </is>
      </c>
      <c r="T11" s="18" t="inlineStr"/>
    </row>
    <row r="12" ht="73.25" customHeight="1">
      <c r="A12" s="18" t="n">
        <v>8</v>
      </c>
      <c r="B12" s="19" t="n">
        <v>46313</v>
      </c>
      <c r="C12" s="18" t="inlineStr">
        <is>
          <t>Нд</t>
        </is>
      </c>
      <c r="D12" s="18" t="inlineStr">
        <is>
          <t>11:00</t>
        </is>
      </c>
      <c r="E12" s="18" t="inlineStr">
        <is>
          <t>🔥 Вау-масштаб</t>
        </is>
      </c>
      <c r="F12" s="20" t="inlineStr">
        <is>
          <t>Шахи з бурштину: розставляємо партію</t>
        </is>
      </c>
      <c r="G12" s="21">
        <f>IFERROR(VLOOKUP(B12,'Свята'!$A$5:$B$30,2,FALSE),"")</f>
        <v/>
      </c>
      <c r="H12" s="18" t="inlineStr">
        <is>
          <t>Сатисфайінг-розстановка: руки швидко ставлять фігури на дошку, кожна — в біт. Фінал — повна дошка зверху і король крупно на світлі.</t>
        </is>
      </c>
      <c r="I12" s="18" t="inlineStr">
        <is>
          <t>Король із бурштину ставиться в центр кадру з гучним «тук».
Текст: «Шахи, які не соромно поставити в кабінеті»</t>
        </is>
      </c>
      <c r="J12" s="18" t="inlineStr">
        <is>
          <t>0–1 с — король на дошці крупно
1–8 с — прискорена розстановка, кожна фігура в біт
8–12 с — макро фігур на світлі (ферзь, кінь)
12–15 с — кадр зверху: повна дошка, лого</t>
        </is>
      </c>
      <c r="K12" s="18" t="inlineStr">
        <is>
          <t>15 с</t>
        </is>
      </c>
      <c r="L12" s="18" t="inlineStr">
        <is>
          <t>Ритмічний трек, «тук» кожної фігури в біт</t>
        </is>
      </c>
      <c r="M12" s="18" t="inlineStr">
        <is>
          <t>Партія в бурштині ♟️ #ambergalbin #шахи #бурштин #подарунокчоловікові</t>
        </is>
      </c>
      <c r="N12" s="18" t="inlineStr">
        <is>
          <t>Ціна — [__] ₴. Нарди й доміно теж є — посилання в профілі</t>
        </is>
      </c>
      <c r="O12" s="18" t="inlineStr">
        <is>
          <t>Охоплення + чоловіча аудиторія; підготовка до подарункового сезону (Миколай, Новий рік).</t>
        </is>
      </c>
      <c r="P12" s="18" t="inlineStr">
        <is>
          <t>≥10 тис. переглядів, збереження ≥1%</t>
        </is>
      </c>
      <c r="Q12" s="18" t="inlineStr">
        <is>
          <t>«Картину з бурштину — ефект вау» (масштаб, деталі)</t>
        </is>
      </c>
      <c r="R12" s="18" t="inlineStr">
        <is>
          <t>Шахи, дошка, штатив зверху, ціна</t>
        </is>
      </c>
      <c r="S12" s="18" t="inlineStr">
        <is>
          <t>Ідея</t>
        </is>
      </c>
      <c r="T12" s="18" t="inlineStr"/>
    </row>
    <row r="13" ht="112.4" customHeight="1">
      <c r="A13" s="18" t="n">
        <v>9</v>
      </c>
      <c r="B13" s="19" t="n">
        <v>46314</v>
      </c>
      <c r="C13" s="18" t="inlineStr">
        <is>
          <t>Пн</t>
        </is>
      </c>
      <c r="D13" s="18" t="inlineStr">
        <is>
          <t>09:00</t>
        </is>
      </c>
      <c r="E13" s="18" t="inlineStr">
        <is>
          <t>🪨 Камінь у руках</t>
        </is>
      </c>
      <c r="F13" s="20" t="inlineStr">
        <is>
          <t>Справжній чи підробка? Тест солоною водою</t>
        </is>
      </c>
      <c r="G13" s="21">
        <f>IFERROR(VLOOKUP(B13,'Свята'!$A$5:$B$30,2,FALSE),"")</f>
        <v/>
      </c>
      <c r="H13" s="18" t="inlineStr">
        <is>
          <t>Простий домашній тест: справжній бурштин спливає в насиченому розчині солі, пластик і скло тонуть. Порівнюємо справжню намистину з підробкою.</t>
        </is>
      </c>
      <c r="I13" s="18" t="inlineStr">
        <is>
          <t>Дві схожі намистини над склянкою.
Текст: «Одна з них — підробка. Яка?»</t>
        </is>
      </c>
      <c r="J13" s="18" t="inlineStr">
        <is>
          <t>0–2 с — хук
2–5 с — сіль сиплеться у воду, розмішування (прискорено)
5–9 с — кидаємо обидві: одна спливає, інша тоне
9–12 с — текст «Справжній бурштин спливає в солоній воді», намистина в долоні
12–13 с — повернення до хуку</t>
        </is>
      </c>
      <c r="K13" s="18" t="inlineStr">
        <is>
          <t>13 с</t>
        </is>
      </c>
      <c r="L13" s="18" t="inlineStr">
        <is>
          <t>Трек з паузою-інтригою + звук «бульк»</t>
        </is>
      </c>
      <c r="M13" s="18" t="inlineStr">
        <is>
          <t>Як перевірити бурштин удома 🔍 #ambergalbin #якперевіритибурштин #справжнійбурштин #бурштин</t>
        </is>
      </c>
      <c r="N13" s="18" t="inlineStr">
        <is>
          <t>Ще способи перевірки? Пишіть «+», знімемо частину 2</t>
        </is>
      </c>
      <c r="O13" s="18" t="inlineStr">
        <is>
          <t>Корисне відео: збереження і поширення, пошуковий трафік надовго, експертність виробника.</t>
        </is>
      </c>
      <c r="P13" s="18" t="inlineStr">
        <is>
          <t>≥10 тис. переглядів, збереження ≥1,5%</t>
        </is>
      </c>
      <c r="Q13" s="18" t="inlineStr">
        <is>
          <t>«З камінням: необроблений бурштин»</t>
        </is>
      </c>
      <c r="R13" s="18" t="inlineStr">
        <is>
          <t>Справжня намистина + пластикова/скляна, сіль, прозора склянка. Тест підтвердити з майстром або геологом</t>
        </is>
      </c>
      <c r="S13" s="18" t="inlineStr">
        <is>
          <t>Ідея</t>
        </is>
      </c>
      <c r="T13" s="18" t="inlineStr"/>
    </row>
    <row r="14" ht="125.45" customHeight="1">
      <c r="A14" s="18" t="n">
        <v>10</v>
      </c>
      <c r="B14" s="19" t="n">
        <v>46316</v>
      </c>
      <c r="C14" s="18" t="inlineStr">
        <is>
          <t>Ср</t>
        </is>
      </c>
      <c r="D14" s="18" t="inlineStr">
        <is>
          <t>21:00</t>
        </is>
      </c>
      <c r="E14" s="18" t="inlineStr">
        <is>
          <t>🔨 Як це зроблено</t>
        </is>
      </c>
      <c r="F14" s="20" t="inlineStr">
        <is>
          <t>Один день на виробництві за 20 секунд</t>
        </is>
      </c>
      <c r="G14" s="21">
        <f>IFERROR(VLOOKUP(B14,'Свята'!$A$5:$B$30,2,FALSE),"")</f>
        <v/>
      </c>
      <c r="H14" s="18" t="inlineStr">
        <is>
          <t>Таймкоди дня: від відкриття до відправки замовлення. Швидкі кадри, живий звук, обличчя команди.</t>
        </is>
      </c>
      <c r="I14" s="18" t="inlineStr">
        <is>
          <t>Відчиняються двері майстерні, вмикається світло.
Текст: «Один день на виробництві бурштину»</t>
        </is>
      </c>
      <c r="J14" s="18" t="inlineStr">
        <is>
          <t>0–2 с — 08:00 відкриття, світло
2–6 с — 09:00 сортування сирцю
6–11 с — 11:00 майстри за верстатами (3 короткі кадри)
11–15 с — 14:00 полірування, збирання прикрас
15–19 с — 17:00 пакування замовлення, коробка з лого
19–20 с — майстер махає в камеру / вимикає світло</t>
        </is>
      </c>
      <c r="K14" s="18" t="inlineStr">
        <is>
          <t>18–22 с</t>
        </is>
      </c>
      <c r="L14" s="18" t="inlineStr">
        <is>
          <t>Трек із ритмом + живі звуки; таймкоди на екрані</t>
        </is>
      </c>
      <c r="M14" s="18" t="inlineStr">
        <is>
          <t>Так виглядає наш день 🛠 #ambergalbin #виробництво #деньмайстра #бурштин</t>
        </is>
      </c>
      <c r="N14" s="18" t="inlineStr">
        <is>
          <t>Про що зняти наступне відео? Пишіть 👇</t>
        </is>
      </c>
      <c r="O14" s="18" t="inlineStr">
        <is>
          <t>Обличчя бренду і довіра (видобувник → виробник → магазин), ріст підписок. Тест довшого формату — гіпотеза з чернетки.</t>
        </is>
      </c>
      <c r="P14" s="18" t="inlineStr">
        <is>
          <t>≥5 тис. переглядів, ≥15 нових підписників</t>
        </is>
      </c>
      <c r="Q14" s="18" t="inlineStr">
        <is>
          <t>«Один день на виробництві»</t>
        </is>
      </c>
      <c r="R14" s="18" t="inlineStr">
        <is>
          <t>Знімальний день у майстерні, згода команди на зйомку</t>
        </is>
      </c>
      <c r="S14" s="18" t="inlineStr">
        <is>
          <t>Ідея</t>
        </is>
      </c>
      <c r="T14" s="18" t="inlineStr"/>
    </row>
    <row r="15" ht="60.2" customHeight="1">
      <c r="A15" s="18" t="n">
        <v>11</v>
      </c>
      <c r="B15" s="19" t="n">
        <v>46318</v>
      </c>
      <c r="C15" s="18" t="inlineStr">
        <is>
          <t>Пт</t>
        </is>
      </c>
      <c r="D15" s="18" t="inlineStr">
        <is>
          <t>21:00</t>
        </is>
      </c>
      <c r="E15" s="18" t="inlineStr">
        <is>
          <t>🎁 Річ у ділі</t>
        </is>
      </c>
      <c r="F15" s="20" t="inlineStr">
        <is>
          <t>Чотки: тепло каменю в долонях</t>
        </is>
      </c>
      <c r="G15" s="21">
        <f>IFERROR(VLOOKUP(B15,'Свята'!$A$5:$B$30,2,FALSE),"")</f>
        <v/>
      </c>
      <c r="H15" s="18" t="inlineStr">
        <is>
          <t>Чотки повільно перебираються пальцями, чути звук намистин, світло проходить крізь бурштин. Показуємо 3 кольори: світлі, темні, пейзажні.</t>
        </is>
      </c>
      <c r="I15" s="18" t="inlineStr">
        <is>
          <t>Чотки ковзають між пальцями крупно, звук намистин.
Текст: «Тепло каменю в долонях»</t>
        </is>
      </c>
      <c r="J15" s="18" t="inlineStr">
        <is>
          <t>0–4 с — перебирання пальцями, крупно
4–9 с — 3 чотки поруч: світлі / темні / пейзажні
9–12 с — чотки в долоні, повільний наїзд</t>
        </is>
      </c>
      <c r="K15" s="18" t="inlineStr">
        <is>
          <t>12 с</t>
        </is>
      </c>
      <c r="L15" s="18" t="inlineStr">
        <is>
          <t>Живий звук намистин + тиха музика</t>
        </is>
      </c>
      <c r="M15" s="18" t="inlineStr">
        <is>
          <t>Чотки з натурального бурштину 📿 #ambergalbin #чотки #вервиця #бурштин</t>
        </is>
      </c>
      <c r="N15" s="18" t="inlineStr">
        <is>
          <t>Ціни — від [__] ₴. Християнські та мусульманські — в каталозі, посилання в профілі</t>
        </is>
      </c>
      <c r="O15" s="18" t="inlineStr">
        <is>
          <t>Продаж категорії «Чотки». Сенсорна подача тримає утримання, ціна в закріпі веде в профіль.</t>
        </is>
      </c>
      <c r="P15" s="18" t="inlineStr">
        <is>
          <t>≥3 тис. переглядів, перегляди профілю ≥3%</t>
        </is>
      </c>
      <c r="Q15" s="18" t="inlineStr">
        <is>
          <t>«Доміно з бурштину» + ASMR</t>
        </is>
      </c>
      <c r="R15" s="18" t="inlineStr">
        <is>
          <t>3 чотки різного кольору, ціни</t>
        </is>
      </c>
      <c r="S15" s="18" t="inlineStr">
        <is>
          <t>Ідея</t>
        </is>
      </c>
      <c r="T15" s="18" t="inlineStr"/>
    </row>
    <row r="16" ht="86.3" customHeight="1">
      <c r="A16" s="18" t="n">
        <v>12</v>
      </c>
      <c r="B16" s="19" t="n">
        <v>46320</v>
      </c>
      <c r="C16" s="18" t="inlineStr">
        <is>
          <t>Нд</t>
        </is>
      </c>
      <c r="D16" s="18" t="inlineStr">
        <is>
          <t>11:00</t>
        </is>
      </c>
      <c r="E16" s="18" t="inlineStr">
        <is>
          <t>🔥 Вау-масштаб</t>
        </is>
      </c>
      <c r="F16" s="20" t="inlineStr">
        <is>
          <t>День автомобіліста: авто з бурштину</t>
        </is>
      </c>
      <c r="G16" s="21">
        <f>IFERROR(VLOOKUP(B16,'Свята'!$A$5:$B$30,2,FALSE),"")</f>
        <v/>
      </c>
      <c r="H16" s="18" t="inlineStr">
        <is>
          <t>Статуетка авто з бурштину «заїжджає» в кадр, камера облітає її на поворотному столику, макро фар і коліс на світлі. Привітання водіїв.</t>
        </is>
      </c>
      <c r="I16" s="18" t="inlineStr">
        <is>
          <t>Авто з бурштину під’їжджає до камери, звук мотора.
Текст: «Машина, яку не треба заправляти 😉»</t>
        </is>
      </c>
      <c r="J16" s="18" t="inlineStr">
        <is>
          <t>0–2 с — заїзд у кадр
2–7 с — обліт 360° (поворотний столик)
7–11 с — макро деталей на світлі
11–13 с — текст «З Днем автомобіліста і дорожника!»
13–14 с — повтор заїзду → петля</t>
        </is>
      </c>
      <c r="K16" s="18" t="inlineStr">
        <is>
          <t>14 с</t>
        </is>
      </c>
      <c r="L16" s="18" t="inlineStr">
        <is>
          <t>Звук мотора + драйвовий трек</t>
        </is>
      </c>
      <c r="M16" s="18" t="inlineStr">
        <is>
          <t>Подарунок для того, хто кермує 🚗 #ambergalbin #деньавтомобіліста #бурштин #подарунокчоловікові</t>
        </is>
      </c>
      <c r="N16" s="18" t="inlineStr">
        <is>
          <t>Ціна — [__] ₴. Інші статуетки «Авто» — в каталозі</t>
        </is>
      </c>
      <c r="O16" s="18" t="inlineStr">
        <is>
          <t>Ситуативне охоплення в тематичний день + подарунок для чоловіків (64%). Вау-подача через деталі.</t>
        </is>
      </c>
      <c r="P16" s="18" t="inlineStr">
        <is>
          <t>≥10 тис. переглядів, поширення ≥0,4%</t>
        </is>
      </c>
      <c r="Q16" s="18" t="inlineStr">
        <is>
          <t>«Картину з бурштину — ефект вау» (обліт, макро)</t>
        </is>
      </c>
      <c r="R16" s="18" t="inlineStr">
        <is>
          <t>Статуетка авто, поворотний столик, ціна</t>
        </is>
      </c>
      <c r="S16" s="18" t="inlineStr">
        <is>
          <t>Ідея</t>
        </is>
      </c>
      <c r="T16" s="18" t="inlineStr"/>
    </row>
    <row r="17" ht="60.2" customHeight="1">
      <c r="A17" s="18" t="n">
        <v>13</v>
      </c>
      <c r="B17" s="19" t="n">
        <v>46321</v>
      </c>
      <c r="C17" s="18" t="inlineStr">
        <is>
          <t>Пн</t>
        </is>
      </c>
      <c r="D17" s="18" t="inlineStr">
        <is>
          <t>09:00</t>
        </is>
      </c>
      <c r="E17" s="18" t="inlineStr">
        <is>
          <t>🪨 Камінь у руках</t>
        </is>
      </c>
      <c r="F17" s="20" t="inlineStr">
        <is>
          <t>Світлий чи темний? Обирайте</t>
        </is>
      </c>
      <c r="G17" s="21">
        <f>IFERROR(VLOOKUP(B17,'Свята'!$A$5:$B$30,2,FALSE),"")</f>
        <v/>
      </c>
      <c r="H17" s="18" t="inlineStr">
        <is>
          <t>Руки сортують сирець на дві купки — світлий і темний. Глядач обирає свій колір одним словом у коментарях.</t>
        </is>
      </c>
      <c r="I17" s="18" t="inlineStr">
        <is>
          <t>Два камені — світлий і темний — у двох долонях перед камерою.
Текст: «Світлий чи темний? Обирайте 👇»</t>
        </is>
      </c>
      <c r="J17" s="18" t="inlineStr">
        <is>
          <t>0–2 с — дві долоні, два камені
2–8 с — швидке сортування на дві купки під біт
8–11 с — обидві купки на світлі, крупно
11–12 с — знову дві долоні → петля</t>
        </is>
      </c>
      <c r="K17" s="18" t="inlineStr">
        <is>
          <t>12 с</t>
        </is>
      </c>
      <c r="L17" s="18" t="inlineStr">
        <is>
          <t>Ритмічний трек, стук каміння в біт</t>
        </is>
      </c>
      <c r="M17" s="18" t="inlineStr">
        <is>
          <t>Команда світлого чи темного? #ambergalbin #бурштин #сирець #рівне</t>
        </is>
      </c>
      <c r="N17" s="18" t="inlineStr">
        <is>
          <t>Прикраси обох кольорів — посилання в профілі</t>
        </is>
      </c>
      <c r="O17" s="18" t="inlineStr">
        <is>
          <t>Легкий вхід у коментарі (одне слово) → активність і охоплення. Дізнаємось, який колір цікавіший, для майбутніх добірок.</t>
        </is>
      </c>
      <c r="P17" s="18" t="inlineStr">
        <is>
          <t>≥8 тис. переглядів, ≥40 коментарів</t>
        </is>
      </c>
      <c r="Q17" s="18" t="inlineStr">
        <is>
          <t>«З камінням: необроблений бурштин»</t>
        </is>
      </c>
      <c r="R17" s="18" t="inlineStr">
        <is>
          <t>Сирець різного кольору, світлий фон</t>
        </is>
      </c>
      <c r="S17" s="18" t="inlineStr">
        <is>
          <t>Ідея</t>
        </is>
      </c>
      <c r="T17" s="18" t="inlineStr"/>
    </row>
    <row r="18" ht="86.3" customHeight="1">
      <c r="A18" s="18" t="n">
        <v>14</v>
      </c>
      <c r="B18" s="19" t="n">
        <v>46323</v>
      </c>
      <c r="C18" s="18" t="inlineStr">
        <is>
          <t>Ср</t>
        </is>
      </c>
      <c r="D18" s="18" t="inlineStr">
        <is>
          <t>21:00</t>
        </is>
      </c>
      <c r="E18" s="18" t="inlineStr">
        <is>
          <t>🔨 Як це зроблено</t>
        </is>
      </c>
      <c r="F18" s="20" t="inlineStr">
        <is>
          <t>До і після полірування</t>
        </is>
      </c>
      <c r="G18" s="21">
        <f>IFERROR(VLOOKUP(B18,'Свята'!$A$5:$B$30,2,FALSE),"")</f>
        <v/>
      </c>
      <c r="H18" s="18" t="inlineStr">
        <is>
          <t>Один камінь у двох станах: матовий сирець → змах руки → уже блищить. 2–3 такі пари на різних виробах, потім процес полірування.</t>
        </is>
      </c>
      <c r="I18" s="18" t="inlineStr">
        <is>
          <t>Матовий камінь, схожий на звичайну гальку.
Текст: «Виглядає як звичайна галька…»</t>
        </is>
      </c>
      <c r="J18" s="18" t="inlineStr">
        <is>
          <t>0–2 с — матовий камінь крупно
2–3 с — змах руки → перехід на полірований
3–9 с — ще 2 пари «до/після» (намистина, кулон)
9–13 с — полірування на кругу, відблиски
13–15 с — готові вироби поруч</t>
        </is>
      </c>
      <c r="K18" s="18" t="inlineStr">
        <is>
          <t>15 с</t>
        </is>
      </c>
      <c r="L18" s="18" t="inlineStr">
        <is>
          <t>Трек із «дропом» на моменті переходу</t>
        </is>
      </c>
      <c r="M18" s="18" t="inlineStr">
        <is>
          <t>Різниця, яку робить майстер ✨ #ambergalbin #доіпісля #бурштин #ручнаробота</t>
        </is>
      </c>
      <c r="N18" s="18" t="inlineStr">
        <is>
          <t>Поліровані й шліфовані вироби — в каталозі</t>
        </is>
      </c>
      <c r="O18" s="18" t="inlineStr">
        <is>
          <t>Вау-трансформація тримає увагу до кінця і пояснює цінність ручної роботи. Тема нейтральна для пам’ятного дня 28.10.</t>
        </is>
      </c>
      <c r="P18" s="18" t="inlineStr">
        <is>
          <t>≥6 тис. переглядів, середній час ≥60%</t>
        </is>
      </c>
      <c r="Q18" s="18" t="inlineStr">
        <is>
          <t>«Один день на виробництві»</t>
        </is>
      </c>
      <c r="R18" s="18" t="inlineStr">
        <is>
          <t>3 пари «сирець / готовий виріб», поліровальний круг</t>
        </is>
      </c>
      <c r="S18" s="18" t="inlineStr">
        <is>
          <t>Ідея</t>
        </is>
      </c>
      <c r="T18" s="18" t="inlineStr"/>
    </row>
    <row r="19" ht="86.3" customHeight="1">
      <c r="A19" s="18" t="n">
        <v>15</v>
      </c>
      <c r="B19" s="19" t="n">
        <v>46325</v>
      </c>
      <c r="C19" s="18" t="inlineStr">
        <is>
          <t>Пт</t>
        </is>
      </c>
      <c r="D19" s="18" t="inlineStr">
        <is>
          <t>21:00</t>
        </is>
      </c>
      <c r="E19" s="18" t="inlineStr">
        <is>
          <t>🎁 Річ у ділі</t>
        </is>
      </c>
      <c r="F19" s="20" t="inlineStr">
        <is>
          <t>Подарунок чоловікові: 3 ідеї з бурштину</t>
        </is>
      </c>
      <c r="G19" s="21">
        <f>IFERROR(VLOOKUP(B19,'Свята'!$A$5:$B$30,2,FALSE),"")</f>
        <v/>
      </c>
      <c r="H19" s="18" t="inlineStr">
        <is>
          <t>Старт подарункового сезону (Миколай 6.12, Новий рік). Три вироби для чоловіка з цінами: нарди, ручка або письмовий набір, статуетка.</t>
        </is>
      </c>
      <c r="I19" s="18" t="inlineStr">
        <is>
          <t>Руки ставлять перший виріб на стіл.
Текст: «Не знаєте, що подарувати чоловікові?»</t>
        </is>
      </c>
      <c r="J19" s="18" t="inlineStr">
        <is>
          <t>0–2 с — хук, перший виріб
2–7 с — нарди: відкриття, кидок кубиків, ціна
7–12 с — ручка / письмовий набір у руці, ціна
12–17 с — статуетка на світлі, ціна
17–20 с — усі три разом, текст «Доставка по Україні»</t>
        </is>
      </c>
      <c r="K19" s="18" t="inlineStr">
        <is>
          <t>18–20 с</t>
        </is>
      </c>
      <c r="L19" s="18" t="inlineStr">
        <is>
          <t>Голос або текст + легкий трек; субтитри</t>
        </is>
      </c>
      <c r="M19" s="18" t="inlineStr">
        <is>
          <t>Подарунок, який запам’ятається 🎁 #ambergalbin #подарунокчоловікові #ідеяподарунка #бурштин</t>
        </is>
      </c>
      <c r="N19" s="18" t="inlineStr">
        <is>
          <t>Ціни: нарди [__] ₴, ручка [__] ₴, статуетка [__] ₴. Замовити — посилання в профілі</t>
        </is>
      </c>
      <c r="O19" s="18" t="inlineStr">
        <is>
          <t>Прямі продажі чоловічій аудиторії (64%) і старт подарункового сезону на місяць раніше.</t>
        </is>
      </c>
      <c r="P19" s="18" t="inlineStr">
        <is>
          <t>≥4 тис. переглядів, перегляди профілю ≥4%</t>
        </is>
      </c>
      <c r="Q19" s="18" t="inlineStr">
        <is>
          <t>«Доміно з бурштину» + чернетка v2 (подарунок чоловікові)</t>
        </is>
      </c>
      <c r="R19" s="18" t="inlineStr">
        <is>
          <t>3 вироби, ціни, нейтральний стіл</t>
        </is>
      </c>
      <c r="S19" s="18" t="inlineStr">
        <is>
          <t>Ідея</t>
        </is>
      </c>
      <c r="T19" s="18" t="inlineStr"/>
    </row>
    <row r="20" ht="73.25" customHeight="1">
      <c r="A20" s="18" t="n">
        <v>16</v>
      </c>
      <c r="B20" s="19" t="n">
        <v>46326</v>
      </c>
      <c r="C20" s="18" t="inlineStr">
        <is>
          <t>Сб</t>
        </is>
      </c>
      <c r="D20" s="18" t="inlineStr">
        <is>
          <t>11:00</t>
        </is>
      </c>
      <c r="E20" s="18" t="inlineStr">
        <is>
          <t>🔥 Вау-масштаб</t>
        </is>
      </c>
      <c r="F20" s="20" t="inlineStr">
        <is>
          <t>Застиглі навіки 🎃 — інклюзи на Хелловін</t>
        </is>
      </c>
      <c r="G20" s="21">
        <f>IFERROR(VLOOKUP(B20,'Свята'!$A$5:$B$30,2,FALSE),"")</f>
        <v/>
      </c>
      <c r="H20" s="18" t="inlineStr">
        <is>
          <t>Сезонний хук: макро найефектніших інклюзів (комахи, павуки, рослини) у темряві з ліхтариком. Закриваємо місяць вау-форматом.</t>
        </is>
      </c>
      <c r="I20" s="18" t="inlineStr">
        <is>
          <t>Темрява, за каменем вмикається ліхтарик — проступає силует комахи.
Текст: «Вони застигли тут задовго до людей…»</t>
        </is>
      </c>
      <c r="J20" s="18" t="inlineStr">
        <is>
          <t>0–2 с — хук у темряві
2–8 с — 3 інклюзи по черзі, макро з ліхтариком
8–11 с — найкращий, повільний наїзд
11–13 с — світло вмикається, камінь у долоні, текст «Щасливого Хелловіну 🎃»</t>
        </is>
      </c>
      <c r="K20" s="18" t="inlineStr">
        <is>
          <t>13 с</t>
        </is>
      </c>
      <c r="L20" s="18" t="inlineStr">
        <is>
          <t>Таємничий трек</t>
        </is>
      </c>
      <c r="M20" s="18" t="inlineStr">
        <is>
          <t>Найстрашніші мешканці нашої майстерні 🕷 #ambergalbin #інклюз #бурштин #хелловін</t>
        </is>
      </c>
      <c r="N20" s="18" t="inlineStr">
        <is>
          <t>Камені з інклюзом — у розділі «Камінь» на сайті</t>
        </is>
      </c>
      <c r="O20" s="18" t="inlineStr">
        <is>
          <t>Ситуативне охоплення на трендовій даті + унікальний товар (камінь з інклюзом). Вау-ефект без великих витрат.</t>
        </is>
      </c>
      <c r="P20" s="18" t="inlineStr">
        <is>
          <t>≥15 тис. переглядів, збереження ≥1%</t>
        </is>
      </c>
      <c r="Q20" s="18" t="inlineStr">
        <is>
          <t>«Картину з бурштину — ефект вау» (макро) + «З камінням: необроблений бурштин»</t>
        </is>
      </c>
      <c r="R20" s="18" t="inlineStr">
        <is>
          <t>3–4 камені з інклюзом, ліхтарик, макролінза, темне приміщення</t>
        </is>
      </c>
      <c r="S20" s="18" t="inlineStr">
        <is>
          <t>Ідея</t>
        </is>
      </c>
      <c r="T20" s="18" t="inlineStr"/>
    </row>
  </sheetData>
  <mergeCells count="2">
    <mergeCell ref="A1:T1"/>
    <mergeCell ref="A2:T2"/>
  </mergeCells>
  <conditionalFormatting sqref="E5:F20">
    <cfRule type="expression" priority="1" dxfId="0">
      <formula>ISNUMBER(SEARCH("Камінь у руках",$E5))</formula>
    </cfRule>
    <cfRule type="expression" priority="2" dxfId="1">
      <formula>ISNUMBER(SEARCH("Як це зроблено",$E5))</formula>
    </cfRule>
    <cfRule type="expression" priority="3" dxfId="2">
      <formula>ISNUMBER(SEARCH("Річ у ділі",$E5))</formula>
    </cfRule>
    <cfRule type="expression" priority="4" dxfId="3">
      <formula>ISNUMBER(SEARCH("Вау-масштаб",$E5))</formula>
    </cfRule>
  </conditionalFormatting>
  <conditionalFormatting sqref="S5:S40">
    <cfRule type="expression" priority="5" dxfId="4">
      <formula>$S5="Опубліковано"</formula>
    </cfRule>
  </conditionalFormatting>
  <dataValidations count="2">
    <dataValidation sqref="E5:E40" showDropDown="0" showInputMessage="0" showErrorMessage="0" allowBlank="1" type="list">
      <formula1>='Рубрики'!$B$5:$B$8</formula1>
    </dataValidation>
    <dataValidation sqref="S5:S40" showDropDown="0" showInputMessage="0" showErrorMessage="0" allowBlank="1" type="list">
      <formula1>"Ідея,Сценарій погоджено,Знято,Змонтовано,Опубліковано,Перенесено"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1" customWidth="1" min="3" max="3"/>
    <col width="40" customWidth="1" min="4" max="4"/>
    <col width="40" customWidth="1" min="5" max="5"/>
    <col width="38" customWidth="1" min="6" max="6"/>
    <col width="24" customWidth="1" min="7" max="7"/>
    <col width="12" customWidth="1" min="8" max="8"/>
  </cols>
  <sheetData>
    <row r="1" ht="40" customHeight="1">
      <c r="A1" s="15" t="inlineStr">
        <is>
          <t>Рубрики і правила</t>
        </is>
      </c>
    </row>
    <row r="2" ht="44" customHeight="1">
      <c r="A2" s="16" t="inlineStr">
        <is>
          <t>На чому базується план: 3 референси з папки referens (статистика знята з екранних записів), звіт TikTok 22–28.09 з чернетки v2 (84,5% трафіку — «Для тебе», 5,9% — пошук; 64% підписників — чоловіки; найкраще відео вийшло о 9:12, пік активності підписників — близько опівночі) та каталог ambergalbin.store.</t>
        </is>
      </c>
    </row>
    <row r="4" ht="34" customHeight="1">
      <c r="A4" s="17" t="inlineStr"/>
      <c r="B4" s="17" t="inlineStr">
        <is>
          <t>Рубрика</t>
        </is>
      </c>
      <c r="C4" s="17" t="inlineStr">
        <is>
          <t>Слот</t>
        </is>
      </c>
      <c r="D4" s="17" t="inlineStr">
        <is>
          <t>Суть</t>
        </is>
      </c>
      <c r="E4" s="17" t="inlineStr">
        <is>
          <t>Референс і цифри</t>
        </is>
      </c>
      <c r="F4" s="17" t="inlineStr">
        <is>
          <t>Мета: що дає</t>
        </is>
      </c>
      <c r="G4" s="17" t="inlineStr">
        <is>
          <t>Інші KPI</t>
        </is>
      </c>
      <c r="H4" s="17" t="inlineStr">
        <is>
          <t>Ціль переглядів</t>
        </is>
      </c>
    </row>
    <row r="5" ht="60.2" customHeight="1">
      <c r="A5" s="18" t="n">
        <v>1</v>
      </c>
      <c r="B5" s="22" t="inlineStr">
        <is>
          <t>🪨 Камінь у руках</t>
        </is>
      </c>
      <c r="C5" s="18" t="inlineStr">
        <is>
          <t>Пн · 09:00</t>
        </is>
      </c>
      <c r="D5" s="18" t="inlineStr">
        <is>
          <t>Сирий бурштин крупно в руках і на світлі: сенсорика, живий звук, гра з глядачем (вгадай ціну, обери колір, перевір справжність).</t>
        </is>
      </c>
      <c r="E5" s="18" t="inlineStr">
        <is>
          <t>«З камінням: необроблений бурштин» — 27,6 тис. переглядів, 86 поширень; ASMR 25.09 — 12,2 тис., 71% утримання (звіт 22–28.09).</t>
        </is>
      </c>
      <c r="F5" s="18" t="inlineStr">
        <is>
          <t>Охоплення через «Для тебе» (84,5% трафіку), високе утримання, коментарі. Ранковий слот — найкраще відео вийшло о 9:12.</t>
        </is>
      </c>
      <c r="G5" s="18" t="inlineStr">
        <is>
          <t>Середній час перегляду ≥60%, коментарі ≥30</t>
        </is>
      </c>
      <c r="H5" s="23" t="n">
        <v>10000</v>
      </c>
    </row>
    <row r="6" ht="47.15" customHeight="1">
      <c r="A6" s="18" t="n">
        <v>2</v>
      </c>
      <c r="B6" s="24" t="inlineStr">
        <is>
          <t>🔨 Як це зроблено</t>
        </is>
      </c>
      <c r="C6" s="18" t="inlineStr">
        <is>
          <t>Ср · 21:00</t>
        </is>
      </c>
      <c r="D6" s="18" t="inlineStr">
        <is>
          <t>Швидкі кадри виробництва: від сирцю до готового виробу, руки майстрів, верстати, живий звук. Монтаж у ритм.</t>
        </is>
      </c>
      <c r="E6" s="18" t="inlineStr">
        <is>
          <t>«Один день на виробництві — швидкі кадри» + висновок звіту: нативні процеси без постановки — стабільно добрий формат.</t>
        </is>
      </c>
      <c r="F6" s="18" t="inlineStr">
        <is>
          <t>Довіра: бренд — видобувник і виробник, звідси ціни виробника. Ріст підписок, довгий хвіст переглядів.</t>
        </is>
      </c>
      <c r="G6" s="18" t="inlineStr">
        <is>
          <t>Нові підписники ≥15 з відео</t>
        </is>
      </c>
      <c r="H6" s="23" t="n">
        <v>5000</v>
      </c>
    </row>
    <row r="7" ht="60.2" customHeight="1">
      <c r="A7" s="18" t="n">
        <v>3</v>
      </c>
      <c r="B7" s="25" t="inlineStr">
        <is>
          <t>🎁 Річ у ділі</t>
        </is>
      </c>
      <c r="C7" s="18" t="inlineStr">
        <is>
          <t>Пт · 21:00</t>
        </is>
      </c>
      <c r="D7" s="18" t="inlineStr">
        <is>
          <t>Виріб у дії (грають, носять, перебирають) + ціна на екрані або в закріпленому коментарі. Сюди ж — відео-відповіді на коментарі про ціну.</t>
        </is>
      </c>
      <c r="E7" s="18" t="inlineStr">
        <is>
          <t>«Доміно з бурштину» — 2,7 тис., але ER 3,8% і питання «Можна ціну?». Слабкий хук (закрита коробка) і немає ціни — виправляємо.</t>
        </is>
      </c>
      <c r="F7" s="18" t="inlineStr">
        <is>
          <t>Продажі: перегляди профілю, переходи на сайт, звернення в Direct. Чоловіча аудиторія — 64% підписників.</t>
        </is>
      </c>
      <c r="G7" s="18" t="inlineStr">
        <is>
          <t>Перегляди профілю ≥3% від переглядів, запити ціни</t>
        </is>
      </c>
      <c r="H7" s="23" t="n">
        <v>3000</v>
      </c>
    </row>
    <row r="8" ht="47.15" customHeight="1">
      <c r="A8" s="18" t="n">
        <v>4</v>
      </c>
      <c r="B8" s="26" t="inlineStr">
        <is>
          <t>🔥 Вау-масштаб</t>
        </is>
      </c>
      <c r="C8" s="18" t="inlineStr">
        <is>
          <t>Нд · 11:00</t>
        </is>
      </c>
      <c r="D8" s="18" t="inlineStr">
        <is>
          <t>Великий або несподіваний виріб: майстер піднімає/розкриває його в кадрі, макро деталей на світлі. Серія «Ламаємо стереотипи».</t>
        </is>
      </c>
      <c r="E8" s="18" t="inlineStr">
        <is>
          <t>«Картину з бурштину — ефект вау» — 152,4 тис. переглядів, 9 083 вподобання, 512 збережень, 733 поширення. Рекорд акаунту.</t>
        </is>
      </c>
      <c r="F8" s="18" t="inlineStr">
        <is>
          <t>Віральне охоплення, поширення і збереження, впізнаваність бренду. Вихідний денний слот — тест.</t>
        </is>
      </c>
      <c r="G8" s="18" t="inlineStr">
        <is>
          <t>Поширення ≥0,4% від переглядів</t>
        </is>
      </c>
      <c r="H8" s="23" t="n">
        <v>20000</v>
      </c>
    </row>
    <row r="10">
      <c r="B10" s="27" t="inlineStr">
        <is>
          <t>Правила для всіх відео</t>
        </is>
      </c>
    </row>
    <row r="11" ht="26" customHeight="1">
      <c r="A11" s="28" t="n">
        <v>1</v>
      </c>
      <c r="B11" s="29" t="inlineStr">
        <is>
          <t>Вертикаль 9:16, знімаємо нативно на телефон — без «рекламного» лиску (див. «Доміно»).</t>
        </is>
      </c>
    </row>
    <row r="12" ht="26" customHeight="1">
      <c r="A12" s="28" t="n">
        <v>2</v>
      </c>
      <c r="B12" s="29" t="inlineStr">
        <is>
          <t>Перші 1–2 секунди — дія, звук або питання. Жодних заставок і логотипів на старті.</t>
        </is>
      </c>
    </row>
    <row r="13" ht="26" customHeight="1">
      <c r="A13" s="28" t="n">
        <v>3</v>
      </c>
      <c r="B13" s="29" t="inlineStr">
        <is>
          <t>Текст на екрані — до 7 слів, у безпечній зоні (не під кнопками і підписом TikTok).</t>
        </is>
      </c>
    </row>
    <row r="14" ht="26" customHeight="1">
      <c r="A14" s="28" t="n">
        <v>4</v>
      </c>
      <c r="B14" s="29" t="inlineStr">
        <is>
          <t>Ціна — на екрані або в закріпленому коментарі: під кожним референсом питають ціну.</t>
        </is>
      </c>
    </row>
    <row r="15" ht="26" customHeight="1">
      <c r="A15" s="28" t="n">
        <v>5</v>
      </c>
      <c r="B15" s="29" t="inlineStr">
        <is>
          <t>Перша година після публікації — відповідаємо на всі коментарі; найкращі питання стають відео-відповідями.</t>
        </is>
      </c>
    </row>
    <row r="16" ht="26" customHeight="1">
      <c r="A16" s="28" t="n">
        <v>6</v>
      </c>
      <c r="B16" s="29" t="inlineStr">
        <is>
          <t>3–5 хештегів: #ambergalbin + 1–2 тематичні + 1–2 пошукові. Геотег «Рівне» — на кожному відео.</t>
        </is>
      </c>
    </row>
    <row r="17" ht="26" customHeight="1">
      <c r="A17" s="28" t="n">
        <v>7</v>
      </c>
      <c r="B17" s="29" t="inlineStr">
        <is>
          <t>Зациклення: останній кадр повторює перший — це дає повторні перегляди.</t>
        </is>
      </c>
    </row>
    <row r="18" ht="26" customHeight="1">
      <c r="A18" s="28" t="n">
        <v>8</v>
      </c>
      <c r="B18" s="29" t="inlineStr">
        <is>
          <t>Через 24–48 год вносимо цифри у вкладку «Заміри». Щоп’ятниці вирішуємо, що повторюємо, а що змінюємо.</t>
        </is>
      </c>
    </row>
    <row r="19" ht="26" customHeight="1">
      <c r="A19" s="28" t="n">
        <v>9</v>
      </c>
      <c r="B19" s="29" t="inlineStr">
        <is>
          <t>Факти (вік бурштину, тести, ціни, кількість шматочків) підтверджуємо з майстром до публікації. Поля [__] заповнює клієнт.</t>
        </is>
      </c>
    </row>
  </sheetData>
  <mergeCells count="11">
    <mergeCell ref="B16:G16"/>
    <mergeCell ref="B19:G19"/>
    <mergeCell ref="B14:G14"/>
    <mergeCell ref="A2:H2"/>
    <mergeCell ref="B17:G17"/>
    <mergeCell ref="B12:G12"/>
    <mergeCell ref="B13:G13"/>
    <mergeCell ref="A1:H1"/>
    <mergeCell ref="B18:G18"/>
    <mergeCell ref="B15:G15"/>
    <mergeCell ref="B11:G1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8" customWidth="1" min="3" max="3"/>
    <col width="56" customWidth="1" min="4" max="4"/>
    <col width="12" customWidth="1" min="5" max="5"/>
  </cols>
  <sheetData>
    <row r="1" ht="40" customHeight="1">
      <c r="A1" s="15" t="inlineStr">
        <is>
          <t>Свята та інфоприводи</t>
        </is>
      </c>
    </row>
    <row r="2" ht="44" customHeight="1">
      <c r="A2" s="16" t="inlineStr">
        <is>
          <t>Дати перевірені на 2026 рік. Календар підтягує назву свята за датою з колонки A — додайте рядок, і свято з’явиться в календарі.</t>
        </is>
      </c>
    </row>
    <row r="4" ht="34" customHeight="1">
      <c r="A4" s="17" t="inlineStr">
        <is>
          <t>Дата</t>
        </is>
      </c>
      <c r="B4" s="17" t="inlineStr">
        <is>
          <t>Свято / подія</t>
        </is>
      </c>
      <c r="C4" s="17" t="inlineStr">
        <is>
          <t>Тип</t>
        </is>
      </c>
      <c r="D4" s="17" t="inlineStr">
        <is>
          <t>Як використати в контенті</t>
        </is>
      </c>
      <c r="E4" s="17" t="inlineStr">
        <is>
          <t>Відео в плані</t>
        </is>
      </c>
    </row>
    <row r="5" ht="47.15" customHeight="1">
      <c r="A5" s="30" t="n">
        <v>46296</v>
      </c>
      <c r="B5" s="31" t="inlineStr">
        <is>
          <t>🇺🇦 День захисників і захисниць · Покрова · День козацтва · День ветерана</t>
        </is>
      </c>
      <c r="C5" s="18" t="inlineStr">
        <is>
          <t>Державне</t>
        </is>
      </c>
      <c r="D5" s="18" t="inlineStr">
        <is>
          <t>Минуло до старту плану (план стартує 05.10). Наступного разу: вироби з символікою, подяка захисникам, без прямого продажу.</t>
        </is>
      </c>
      <c r="E5" s="18" t="inlineStr">
        <is>
          <t>—</t>
        </is>
      </c>
    </row>
    <row r="6" ht="34.09999999999999" customHeight="1">
      <c r="A6" s="30" t="n">
        <v>46299</v>
      </c>
      <c r="B6" s="31" t="inlineStr">
        <is>
          <t>📚 День працівників освіти · 🐾 Всесвітній день тварин</t>
        </is>
      </c>
      <c r="C6" s="18" t="inlineStr">
        <is>
          <t>Професійне / міжнародне</t>
        </is>
      </c>
      <c r="D6" s="18" t="inlineStr">
        <is>
          <t>Минуло до старту плану. Ідеї на майбутнє: подарунок вчителю (кулон, ручка); статуетки тварин.</t>
        </is>
      </c>
      <c r="E6" s="18" t="inlineStr">
        <is>
          <t>—</t>
        </is>
      </c>
    </row>
    <row r="7" ht="34.09999999999999" customHeight="1">
      <c r="A7" s="30" t="n">
        <v>46306</v>
      </c>
      <c r="B7" s="31" t="inlineStr">
        <is>
          <t>🎨 День художника</t>
        </is>
      </c>
      <c r="C7" s="18" t="inlineStr">
        <is>
          <t>Професійне</t>
        </is>
      </c>
      <c r="D7" s="18" t="inlineStr">
        <is>
          <t>Картини і мозаїка з бурштину: показуємо майстра як художника.</t>
        </is>
      </c>
      <c r="E7" s="18" t="inlineStr">
        <is>
          <t>№4</t>
        </is>
      </c>
    </row>
    <row r="8" ht="21.05" customHeight="1">
      <c r="A8" s="30" t="n">
        <v>46320</v>
      </c>
      <c r="B8" s="31" t="inlineStr">
        <is>
          <t>🚗 День автомобіліста і дорожника</t>
        </is>
      </c>
      <c r="C8" s="18" t="inlineStr">
        <is>
          <t>Професійне</t>
        </is>
      </c>
      <c r="D8" s="18" t="inlineStr">
        <is>
          <t>Статуетки «Авто» — подарунок водію.</t>
        </is>
      </c>
      <c r="E8" s="18" t="inlineStr">
        <is>
          <t>№12</t>
        </is>
      </c>
    </row>
    <row r="9" ht="34.09999999999999" customHeight="1">
      <c r="A9" s="30" t="n">
        <v>46323</v>
      </c>
      <c r="B9" s="31" t="inlineStr">
        <is>
          <t>🕯 День вигнання нацистських загарбників з України</t>
        </is>
      </c>
      <c r="C9" s="18" t="inlineStr">
        <is>
          <t>Пам’ятний</t>
        </is>
      </c>
      <c r="D9" s="18" t="inlineStr">
        <is>
          <t>Без розважальних і продажних акцентів. Тема відео №14 нейтральна; за потреби перенести на 29.10.</t>
        </is>
      </c>
      <c r="E9" s="18" t="inlineStr">
        <is>
          <t>№14</t>
        </is>
      </c>
    </row>
    <row r="10" ht="21.05" customHeight="1">
      <c r="A10" s="30" t="n">
        <v>46326</v>
      </c>
      <c r="B10" s="31" t="inlineStr">
        <is>
          <t>🎃 Хелловін</t>
        </is>
      </c>
      <c r="C10" s="18" t="inlineStr">
        <is>
          <t>Неофіційне</t>
        </is>
      </c>
      <c r="D10" s="18" t="inlineStr">
        <is>
          <t>Інклюзи «застиглі навіки» — легкий сезонний хук без кітчу.</t>
        </is>
      </c>
      <c r="E10" s="18" t="inlineStr">
        <is>
          <t>№16</t>
        </is>
      </c>
    </row>
    <row r="11" ht="34.09999999999999" customHeight="1">
      <c r="A11" s="30" t="n">
        <v>46362</v>
      </c>
      <c r="B11" s="31" t="inlineStr">
        <is>
          <t>🎁 День святого Миколая</t>
        </is>
      </c>
      <c r="C11" s="18" t="inlineStr">
        <is>
          <t>Традиційне</t>
        </is>
      </c>
      <c r="D11" s="18" t="inlineStr">
        <is>
          <t>Старт подарункового сезону готуємо з кінця жовтня (№15) і в листопаді.</t>
        </is>
      </c>
      <c r="E11" s="18" t="inlineStr">
        <is>
          <t>Підготовка</t>
        </is>
      </c>
    </row>
    <row r="12" ht="21.05" customHeight="1">
      <c r="A12" s="30" t="n">
        <v>46381</v>
      </c>
      <c r="B12" s="31" t="inlineStr">
        <is>
          <t>🎄 Різдво Христове</t>
        </is>
      </c>
      <c r="C12" s="18" t="inlineStr">
        <is>
          <t>Державне</t>
        </is>
      </c>
      <c r="D12" s="18" t="inlineStr">
        <is>
          <t>Подарунки, ікони, вервиці — план на листопад–грудень.</t>
        </is>
      </c>
      <c r="E12" s="18" t="inlineStr">
        <is>
          <t>Підготовка</t>
        </is>
      </c>
    </row>
  </sheetData>
  <mergeCells count="2">
    <mergeCell ref="A2:E2"/>
    <mergeCell ref="A1:E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0" customWidth="1" min="5" max="5"/>
    <col width="11" customWidth="1" min="6" max="6"/>
    <col width="11" customWidth="1" min="7" max="7"/>
    <col width="8" customWidth="1" min="8" max="8"/>
    <col width="11" customWidth="1" min="9" max="9"/>
    <col width="40" customWidth="1" min="10" max="10"/>
    <col width="40" customWidth="1" min="11" max="11"/>
    <col width="36" customWidth="1" min="12" max="12"/>
    <col width="17" customWidth="1" min="13" max="13"/>
  </cols>
  <sheetData>
    <row r="1" ht="40" customHeight="1">
      <c r="A1" s="15" t="inlineStr">
        <is>
          <t>Референси: що спрацювало і чому</t>
        </is>
      </c>
    </row>
    <row r="2" ht="44" customHeight="1">
      <c r="A2" s="16" t="inlineStr">
        <is>
          <t>Цифри зняті з екранних записів TikTok у папці referens (округлені, як показує TikTok). ER = (вподобання + коментарі + збереження + поширення) / перегляди.</t>
        </is>
      </c>
    </row>
    <row r="4" ht="34" customHeight="1">
      <c r="A4" s="17" t="inlineStr">
        <is>
          <t>Відео</t>
        </is>
      </c>
      <c r="B4" s="17" t="inlineStr">
        <is>
          <t>Опубліковано</t>
        </is>
      </c>
      <c r="C4" s="17" t="inlineStr">
        <is>
          <t>Перегляди</t>
        </is>
      </c>
      <c r="D4" s="17" t="inlineStr">
        <is>
          <t>Вподобання</t>
        </is>
      </c>
      <c r="E4" s="17" t="inlineStr">
        <is>
          <t>Коментарі</t>
        </is>
      </c>
      <c r="F4" s="17" t="inlineStr">
        <is>
          <t>Збереження</t>
        </is>
      </c>
      <c r="G4" s="17" t="inlineStr">
        <is>
          <t>Поширення</t>
        </is>
      </c>
      <c r="H4" s="17" t="inlineStr">
        <is>
          <t>ER</t>
        </is>
      </c>
      <c r="I4" s="17" t="inlineStr">
        <is>
          <t>Поширення / перегляди</t>
        </is>
      </c>
      <c r="J4" s="17" t="inlineStr">
        <is>
          <t>Що в кадрі</t>
        </is>
      </c>
      <c r="K4" s="17" t="inlineStr">
        <is>
          <t>Чому спрацювало / ні</t>
        </is>
      </c>
      <c r="L4" s="17" t="inlineStr">
        <is>
          <t>Що беремо в план</t>
        </is>
      </c>
      <c r="M4" s="17" t="inlineStr">
        <is>
          <t>Рубрика</t>
        </is>
      </c>
    </row>
    <row r="5" ht="73.25" customHeight="1">
      <c r="A5" s="20" t="inlineStr">
        <is>
          <t>«Картину з бурштину — ефект вау»</t>
        </is>
      </c>
      <c r="B5" s="30" t="n">
        <v>46134</v>
      </c>
      <c r="C5" s="23" t="n">
        <v>152400</v>
      </c>
      <c r="D5" s="23" t="n">
        <v>9083</v>
      </c>
      <c r="E5" s="23" t="n">
        <v>230</v>
      </c>
      <c r="F5" s="23" t="n">
        <v>512</v>
      </c>
      <c r="G5" s="23" t="n">
        <v>733</v>
      </c>
      <c r="H5" s="32">
        <f>IF(AND(C5&gt;0,COUNT(D5:G5)=4),(D5+E5+F5+G5)/C5,"")</f>
        <v/>
      </c>
      <c r="I5" s="33">
        <f>IF(AND(C5&gt;0,G5&lt;&gt;""),G5/C5,"")</f>
        <v/>
      </c>
      <c r="J5" s="18" t="inlineStr">
        <is>
          <t>Майстер піднімає зі столу велику мозаїку «Орел», розвертає до камери, камера наїжджає на очі й фактуру. Текст «Ламаємо стереотипи про картини з бурштину🔥», геотег Рівне, трек.</t>
        </is>
      </c>
      <c r="K5" s="18" t="inlineStr">
        <is>
          <t>Масштаб + несподіванка (бурштин — не лише прикраси), людина в кадрі для розміру, деталі на світлі, текст-виклик. Коментарі — про ціну («боюся навіть питатись, скільки це…»).</t>
        </is>
      </c>
      <c r="L5" s="18" t="inlineStr">
        <is>
          <t>Серія «Ламаємо стереотипи» ч.2/ч.3, великі роботи + макро, відповідь про ціну окремим відео.</t>
        </is>
      </c>
      <c r="M5" s="18" t="inlineStr">
        <is>
          <t>🔥 Вау-масштаб</t>
        </is>
      </c>
    </row>
    <row r="6" ht="47.15" customHeight="1">
      <c r="A6" s="20" t="inlineStr">
        <is>
          <t>«З камінням: необроблений бурштин»</t>
        </is>
      </c>
      <c r="B6" s="30" t="n">
        <v>46017</v>
      </c>
      <c r="C6" s="23" t="n">
        <v>27600</v>
      </c>
      <c r="D6" s="23" t="n">
        <v>613</v>
      </c>
      <c r="E6" s="23" t="n">
        <v>12</v>
      </c>
      <c r="F6" s="23" t="n">
        <v>22</v>
      </c>
      <c r="G6" s="23" t="n">
        <v>86</v>
      </c>
      <c r="H6" s="32">
        <f>IF(AND(C6&gt;0,COUNT(D6:G6)=4),(D6+E6+F6+G6)/C6,"")</f>
        <v/>
      </c>
      <c r="I6" s="33">
        <f>IF(AND(C6&gt;0,G6&lt;&gt;""),G6/C6,"")</f>
        <v/>
      </c>
      <c r="J6" s="18" t="inlineStr">
        <is>
          <t>Рука по одному дістає з контейнера великі шматки сирцю і крутить їх на світлі. Трендовий трек, в описі — адреса магазину.</t>
        </is>
      </c>
      <c r="K6" s="18" t="inlineStr">
        <is>
          <t>Сирий камінь читається як «скарб у руках»: «я бачу, що в руках гроші». Питають ціну і доставку за кордон.</t>
        </is>
      </c>
      <c r="L6" s="18" t="inlineStr">
        <is>
          <t>Рубрика «Камінь у руках»: сирець крупно + гра «вгадай ціну». Окремо відповісти про доставку за кордон.</t>
        </is>
      </c>
      <c r="M6" s="18" t="inlineStr">
        <is>
          <t>🪨 Камінь у руках</t>
        </is>
      </c>
    </row>
    <row r="7" ht="60.2" customHeight="1">
      <c r="A7" s="20" t="inlineStr">
        <is>
          <t>«Доміно з бурштину»</t>
        </is>
      </c>
      <c r="B7" s="30" t="n">
        <v>46055</v>
      </c>
      <c r="C7" s="23" t="n">
        <v>2657</v>
      </c>
      <c r="D7" s="23" t="n">
        <v>70</v>
      </c>
      <c r="E7" s="23" t="n">
        <v>6</v>
      </c>
      <c r="F7" s="23" t="n">
        <v>15</v>
      </c>
      <c r="G7" s="23" t="n">
        <v>11</v>
      </c>
      <c r="H7" s="32">
        <f>IF(AND(C7&gt;0,COUNT(D7:G7)=4),(D7+E7+F7+G7)/C7,"")</f>
        <v/>
      </c>
      <c r="I7" s="33">
        <f>IF(AND(C7&gt;0,G7&lt;&gt;""),G7/C7,"")</f>
        <v/>
      </c>
      <c r="J7" s="18" t="inlineStr">
        <is>
          <t>Закрита скринька → відкриття → кісточки висипаються → складання назад. Текст «Доміно з бурштину» + лого, фінальна заставка з лого.</t>
        </is>
      </c>
      <c r="K7" s="18" t="inlineStr">
        <is>
          <t>Статичний старт (закрита коробка) — слабкий хук; виглядає як реклама; ціни немає — питають «Можна ціну?». При цьому ER 3,8% — товар цікавий.</t>
        </is>
      </c>
      <c r="L7" s="18" t="inlineStr">
        <is>
          <t>Рубрика «Річ у ділі»: старт із дії і звуку, виріб у використанні, ціна в закріпі.</t>
        </is>
      </c>
      <c r="M7" s="18" t="inlineStr">
        <is>
          <t>🎁 Річ у ділі</t>
        </is>
      </c>
    </row>
    <row r="8" ht="60.2" customHeight="1">
      <c r="A8" s="20" t="inlineStr">
        <is>
          <t>«Один день на виробництві — швидкі кадри»</t>
        </is>
      </c>
      <c r="B8" s="30" t="n"/>
      <c r="C8" s="23" t="n"/>
      <c r="D8" s="23" t="n"/>
      <c r="E8" s="23" t="n"/>
      <c r="F8" s="23" t="n"/>
      <c r="G8" s="23" t="n"/>
      <c r="H8" s="32">
        <f>IF(AND(C8&gt;0,COUNT(D8:G8)=4),(D8+E8+F8+G8)/C8,"")</f>
        <v/>
      </c>
      <c r="I8" s="33">
        <f>IF(AND(C8&gt;0,G8&lt;&gt;""),G8/C8,"")</f>
        <v/>
      </c>
      <c r="J8" s="18" t="inlineStr">
        <is>
          <t>Файл більше 10 МБ: коннектор Google Drive такі не віддає, переглянути не вдалося. Ідея — за назвою: швидкий монтаж дня на виробництві.</t>
        </is>
      </c>
      <c r="K8" s="18" t="inlineStr">
        <is>
          <t>—</t>
        </is>
      </c>
      <c r="L8" s="18" t="inlineStr">
        <is>
          <t>Рубрика «Як це зроблено». Статистику можна дописати вручну в цей рядок.</t>
        </is>
      </c>
      <c r="M8" s="18" t="inlineStr">
        <is>
          <t>🔨 Як це зроблено</t>
        </is>
      </c>
    </row>
    <row r="9" ht="47.15" customHeight="1">
      <c r="A9" s="20" t="inlineStr">
        <is>
          <t>ASMR: шліфування (зі звіту 22–28.09)</t>
        </is>
      </c>
      <c r="B9" s="30" t="n">
        <v>46290</v>
      </c>
      <c r="C9" s="23" t="n">
        <v>12200</v>
      </c>
      <c r="D9" s="23" t="n"/>
      <c r="E9" s="23" t="n"/>
      <c r="F9" s="23" t="n"/>
      <c r="G9" s="23" t="n"/>
      <c r="H9" s="32">
        <f>IF(AND(C9&gt;0,COUNT(D9:G9)=4),(D9+E9+F9+G9)/C9,"")</f>
        <v/>
      </c>
      <c r="I9" s="33">
        <f>IF(AND(C9&gt;0,G9&lt;&gt;""),G9/C9,"")</f>
        <v/>
      </c>
      <c r="J9" s="18" t="inlineStr">
        <is>
          <t>Крупний план обробки каменю, без тексту і голосу, живий звук.</t>
        </is>
      </c>
      <c r="K9" s="18" t="inlineStr">
        <is>
          <t>71% середнього часу перегляду, 32,7% до кінця, 12 нових підписників — понад половина приросту тижня.</t>
        </is>
      </c>
      <c r="L9" s="18" t="inlineStr">
        <is>
          <t>ASMR-випуски в рубриці «Камінь у руках» (№5).</t>
        </is>
      </c>
      <c r="M9" s="18" t="inlineStr">
        <is>
          <t>🪨 Камінь у руках</t>
        </is>
      </c>
    </row>
  </sheetData>
  <mergeCells count="2">
    <mergeCell ref="A2:M2"/>
    <mergeCell ref="A1:M1"/>
  </mergeCells>
  <conditionalFormatting sqref="M5:M9">
    <cfRule type="expression" priority="1" dxfId="0">
      <formula>ISNUMBER(SEARCH("Камінь у руках",$M5))</formula>
    </cfRule>
    <cfRule type="expression" priority="2" dxfId="1">
      <formula>ISNUMBER(SEARCH("Як це зроблено",$M5))</formula>
    </cfRule>
    <cfRule type="expression" priority="3" dxfId="2">
      <formula>ISNUMBER(SEARCH("Річ у ділі",$M5))</formula>
    </cfRule>
    <cfRule type="expression" priority="4" dxfId="3">
      <formula>ISNUMBER(SEARCH("Вау-масштаб",$M5))</formula>
    </cfRule>
  </conditionalFormatting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7" customWidth="1" min="2" max="2"/>
    <col width="30" customWidth="1" min="3" max="3"/>
    <col width="17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9" customWidth="1" min="11" max="11"/>
    <col width="10" customWidth="1" min="12" max="12"/>
    <col width="10" customWidth="1" min="13" max="13"/>
    <col width="7" customWidth="1" min="14" max="14"/>
    <col width="10" customWidth="1" min="15" max="15"/>
    <col width="10" customWidth="1" min="16" max="16"/>
    <col width="10" customWidth="1" min="17" max="17"/>
    <col width="30" customWidth="1" min="18" max="18"/>
  </cols>
  <sheetData>
    <row r="1" ht="40" customHeight="1">
      <c r="A1" s="15" t="inlineStr">
        <is>
          <t>Заміри після публікації</t>
        </is>
      </c>
    </row>
    <row r="2" ht="44" customHeight="1">
      <c r="A2" s="16" t="inlineStr">
        <is>
          <t>Заповнюємо через 24–48 год з TikTok Studio (білі клітинки). Сірі — рахуються самі. Порівнюйте з референсами: «Орел» — ER 6,9%, «Сирець» — 2,7%, «Доміно» — 3,8%.</t>
        </is>
      </c>
    </row>
    <row r="4" ht="34" customHeight="1">
      <c r="A4" s="17" t="inlineStr">
        <is>
          <t>№</t>
        </is>
      </c>
      <c r="B4" s="17" t="inlineStr">
        <is>
          <t>Дата</t>
        </is>
      </c>
      <c r="C4" s="17" t="inlineStr">
        <is>
          <t>Відео</t>
        </is>
      </c>
      <c r="D4" s="17" t="inlineStr">
        <is>
          <t>Рубрика</t>
        </is>
      </c>
      <c r="E4" s="17" t="inlineStr">
        <is>
          <t>Перегляди</t>
        </is>
      </c>
      <c r="F4" s="17" t="inlineStr">
        <is>
          <t>Сер. час перегляду, %</t>
        </is>
      </c>
      <c r="G4" s="17" t="inlineStr">
        <is>
          <t>До кінця, %</t>
        </is>
      </c>
      <c r="H4" s="17" t="inlineStr">
        <is>
          <t>Вподобання</t>
        </is>
      </c>
      <c r="I4" s="17" t="inlineStr">
        <is>
          <t>Коментарі</t>
        </is>
      </c>
      <c r="J4" s="17" t="inlineStr">
        <is>
          <t>Збереження</t>
        </is>
      </c>
      <c r="K4" s="17" t="inlineStr">
        <is>
          <t>Поширення</t>
        </is>
      </c>
      <c r="L4" s="17" t="inlineStr">
        <is>
          <t>Нові підписники</t>
        </is>
      </c>
      <c r="M4" s="17" t="inlineStr">
        <is>
          <t>Перегляди профілю</t>
        </is>
      </c>
      <c r="N4" s="17" t="inlineStr">
        <is>
          <t>ER</t>
        </is>
      </c>
      <c r="O4" s="17" t="inlineStr">
        <is>
          <t>Поширення / перегляди</t>
        </is>
      </c>
      <c r="P4" s="17" t="inlineStr">
        <is>
          <t>Ціль переглядів</t>
        </is>
      </c>
      <c r="Q4" s="17" t="inlineStr">
        <is>
          <t>Ціль виконано?</t>
        </is>
      </c>
      <c r="R4" s="17" t="inlineStr">
        <is>
          <t>Висновок: повторюємо / змінюємо</t>
        </is>
      </c>
    </row>
    <row r="5">
      <c r="A5" s="34">
        <f>'Сценарії'!A5</f>
        <v/>
      </c>
      <c r="B5" s="35">
        <f>'Сценарії'!B5</f>
        <v/>
      </c>
      <c r="C5" s="34">
        <f>'Сценарії'!F5</f>
        <v/>
      </c>
      <c r="D5" s="34">
        <f>'Сценарії'!E5</f>
        <v/>
      </c>
      <c r="E5" s="23" t="n"/>
      <c r="F5" s="18" t="n"/>
      <c r="G5" s="18" t="n"/>
      <c r="H5" s="23" t="n"/>
      <c r="I5" s="23" t="n"/>
      <c r="J5" s="23" t="n"/>
      <c r="K5" s="23" t="n"/>
      <c r="L5" s="23" t="n"/>
      <c r="M5" s="23" t="n"/>
      <c r="N5" s="36">
        <f>IF(E5&gt;0,(H5+I5+J5+K5)/E5,"")</f>
        <v/>
      </c>
      <c r="O5" s="37">
        <f>IF(E5&gt;0,K5/E5,"")</f>
        <v/>
      </c>
      <c r="P5" s="38">
        <f>IFERROR(VLOOKUP(D5,'Рубрики'!$B$5:$H$8,7,FALSE),"")</f>
        <v/>
      </c>
      <c r="Q5" s="34">
        <f>IF(E5="","",IF(E5&gt;=P5,"✅ так","❌ ні"))</f>
        <v/>
      </c>
      <c r="R5" s="18" t="n"/>
    </row>
    <row r="6">
      <c r="A6" s="34">
        <f>'Сценарії'!A6</f>
        <v/>
      </c>
      <c r="B6" s="35">
        <f>'Сценарії'!B6</f>
        <v/>
      </c>
      <c r="C6" s="34">
        <f>'Сценарії'!F6</f>
        <v/>
      </c>
      <c r="D6" s="34">
        <f>'Сценарії'!E6</f>
        <v/>
      </c>
      <c r="E6" s="23" t="n"/>
      <c r="F6" s="18" t="n"/>
      <c r="G6" s="18" t="n"/>
      <c r="H6" s="23" t="n"/>
      <c r="I6" s="23" t="n"/>
      <c r="J6" s="23" t="n"/>
      <c r="K6" s="23" t="n"/>
      <c r="L6" s="23" t="n"/>
      <c r="M6" s="23" t="n"/>
      <c r="N6" s="36">
        <f>IF(E6&gt;0,(H6+I6+J6+K6)/E6,"")</f>
        <v/>
      </c>
      <c r="O6" s="37">
        <f>IF(E6&gt;0,K6/E6,"")</f>
        <v/>
      </c>
      <c r="P6" s="38">
        <f>IFERROR(VLOOKUP(D6,'Рубрики'!$B$5:$H$8,7,FALSE),"")</f>
        <v/>
      </c>
      <c r="Q6" s="34">
        <f>IF(E6="","",IF(E6&gt;=P6,"✅ так","❌ ні"))</f>
        <v/>
      </c>
      <c r="R6" s="18" t="n"/>
    </row>
    <row r="7">
      <c r="A7" s="34">
        <f>'Сценарії'!A7</f>
        <v/>
      </c>
      <c r="B7" s="35">
        <f>'Сценарії'!B7</f>
        <v/>
      </c>
      <c r="C7" s="34">
        <f>'Сценарії'!F7</f>
        <v/>
      </c>
      <c r="D7" s="34">
        <f>'Сценарії'!E7</f>
        <v/>
      </c>
      <c r="E7" s="23" t="n"/>
      <c r="F7" s="18" t="n"/>
      <c r="G7" s="18" t="n"/>
      <c r="H7" s="23" t="n"/>
      <c r="I7" s="23" t="n"/>
      <c r="J7" s="23" t="n"/>
      <c r="K7" s="23" t="n"/>
      <c r="L7" s="23" t="n"/>
      <c r="M7" s="23" t="n"/>
      <c r="N7" s="36">
        <f>IF(E7&gt;0,(H7+I7+J7+K7)/E7,"")</f>
        <v/>
      </c>
      <c r="O7" s="37">
        <f>IF(E7&gt;0,K7/E7,"")</f>
        <v/>
      </c>
      <c r="P7" s="38">
        <f>IFERROR(VLOOKUP(D7,'Рубрики'!$B$5:$H$8,7,FALSE),"")</f>
        <v/>
      </c>
      <c r="Q7" s="34">
        <f>IF(E7="","",IF(E7&gt;=P7,"✅ так","❌ ні"))</f>
        <v/>
      </c>
      <c r="R7" s="18" t="n"/>
    </row>
    <row r="8">
      <c r="A8" s="34">
        <f>'Сценарії'!A8</f>
        <v/>
      </c>
      <c r="B8" s="35">
        <f>'Сценарії'!B8</f>
        <v/>
      </c>
      <c r="C8" s="34">
        <f>'Сценарії'!F8</f>
        <v/>
      </c>
      <c r="D8" s="34">
        <f>'Сценарії'!E8</f>
        <v/>
      </c>
      <c r="E8" s="23" t="n"/>
      <c r="F8" s="18" t="n"/>
      <c r="G8" s="18" t="n"/>
      <c r="H8" s="23" t="n"/>
      <c r="I8" s="23" t="n"/>
      <c r="J8" s="23" t="n"/>
      <c r="K8" s="23" t="n"/>
      <c r="L8" s="23" t="n"/>
      <c r="M8" s="23" t="n"/>
      <c r="N8" s="36">
        <f>IF(E8&gt;0,(H8+I8+J8+K8)/E8,"")</f>
        <v/>
      </c>
      <c r="O8" s="37">
        <f>IF(E8&gt;0,K8/E8,"")</f>
        <v/>
      </c>
      <c r="P8" s="38">
        <f>IFERROR(VLOOKUP(D8,'Рубрики'!$B$5:$H$8,7,FALSE),"")</f>
        <v/>
      </c>
      <c r="Q8" s="34">
        <f>IF(E8="","",IF(E8&gt;=P8,"✅ так","❌ ні"))</f>
        <v/>
      </c>
      <c r="R8" s="18" t="n"/>
    </row>
    <row r="9">
      <c r="A9" s="34">
        <f>'Сценарії'!A9</f>
        <v/>
      </c>
      <c r="B9" s="35">
        <f>'Сценарії'!B9</f>
        <v/>
      </c>
      <c r="C9" s="34">
        <f>'Сценарії'!F9</f>
        <v/>
      </c>
      <c r="D9" s="34">
        <f>'Сценарії'!E9</f>
        <v/>
      </c>
      <c r="E9" s="23" t="n"/>
      <c r="F9" s="18" t="n"/>
      <c r="G9" s="18" t="n"/>
      <c r="H9" s="23" t="n"/>
      <c r="I9" s="23" t="n"/>
      <c r="J9" s="23" t="n"/>
      <c r="K9" s="23" t="n"/>
      <c r="L9" s="23" t="n"/>
      <c r="M9" s="23" t="n"/>
      <c r="N9" s="36">
        <f>IF(E9&gt;0,(H9+I9+J9+K9)/E9,"")</f>
        <v/>
      </c>
      <c r="O9" s="37">
        <f>IF(E9&gt;0,K9/E9,"")</f>
        <v/>
      </c>
      <c r="P9" s="38">
        <f>IFERROR(VLOOKUP(D9,'Рубрики'!$B$5:$H$8,7,FALSE),"")</f>
        <v/>
      </c>
      <c r="Q9" s="34">
        <f>IF(E9="","",IF(E9&gt;=P9,"✅ так","❌ ні"))</f>
        <v/>
      </c>
      <c r="R9" s="18" t="n"/>
    </row>
    <row r="10">
      <c r="A10" s="34">
        <f>'Сценарії'!A10</f>
        <v/>
      </c>
      <c r="B10" s="35">
        <f>'Сценарії'!B10</f>
        <v/>
      </c>
      <c r="C10" s="34">
        <f>'Сценарії'!F10</f>
        <v/>
      </c>
      <c r="D10" s="34">
        <f>'Сценарії'!E10</f>
        <v/>
      </c>
      <c r="E10" s="23" t="n"/>
      <c r="F10" s="18" t="n"/>
      <c r="G10" s="18" t="n"/>
      <c r="H10" s="23" t="n"/>
      <c r="I10" s="23" t="n"/>
      <c r="J10" s="23" t="n"/>
      <c r="K10" s="23" t="n"/>
      <c r="L10" s="23" t="n"/>
      <c r="M10" s="23" t="n"/>
      <c r="N10" s="36">
        <f>IF(E10&gt;0,(H10+I10+J10+K10)/E10,"")</f>
        <v/>
      </c>
      <c r="O10" s="37">
        <f>IF(E10&gt;0,K10/E10,"")</f>
        <v/>
      </c>
      <c r="P10" s="38">
        <f>IFERROR(VLOOKUP(D10,'Рубрики'!$B$5:$H$8,7,FALSE),"")</f>
        <v/>
      </c>
      <c r="Q10" s="34">
        <f>IF(E10="","",IF(E10&gt;=P10,"✅ так","❌ ні"))</f>
        <v/>
      </c>
      <c r="R10" s="18" t="n"/>
    </row>
    <row r="11">
      <c r="A11" s="34">
        <f>'Сценарії'!A11</f>
        <v/>
      </c>
      <c r="B11" s="35">
        <f>'Сценарії'!B11</f>
        <v/>
      </c>
      <c r="C11" s="34">
        <f>'Сценарії'!F11</f>
        <v/>
      </c>
      <c r="D11" s="34">
        <f>'Сценарії'!E11</f>
        <v/>
      </c>
      <c r="E11" s="23" t="n"/>
      <c r="F11" s="18" t="n"/>
      <c r="G11" s="18" t="n"/>
      <c r="H11" s="23" t="n"/>
      <c r="I11" s="23" t="n"/>
      <c r="J11" s="23" t="n"/>
      <c r="K11" s="23" t="n"/>
      <c r="L11" s="23" t="n"/>
      <c r="M11" s="23" t="n"/>
      <c r="N11" s="36">
        <f>IF(E11&gt;0,(H11+I11+J11+K11)/E11,"")</f>
        <v/>
      </c>
      <c r="O11" s="37">
        <f>IF(E11&gt;0,K11/E11,"")</f>
        <v/>
      </c>
      <c r="P11" s="38">
        <f>IFERROR(VLOOKUP(D11,'Рубрики'!$B$5:$H$8,7,FALSE),"")</f>
        <v/>
      </c>
      <c r="Q11" s="34">
        <f>IF(E11="","",IF(E11&gt;=P11,"✅ так","❌ ні"))</f>
        <v/>
      </c>
      <c r="R11" s="18" t="n"/>
    </row>
    <row r="12">
      <c r="A12" s="34">
        <f>'Сценарії'!A12</f>
        <v/>
      </c>
      <c r="B12" s="35">
        <f>'Сценарії'!B12</f>
        <v/>
      </c>
      <c r="C12" s="34">
        <f>'Сценарії'!F12</f>
        <v/>
      </c>
      <c r="D12" s="34">
        <f>'Сценарії'!E12</f>
        <v/>
      </c>
      <c r="E12" s="23" t="n"/>
      <c r="F12" s="18" t="n"/>
      <c r="G12" s="18" t="n"/>
      <c r="H12" s="23" t="n"/>
      <c r="I12" s="23" t="n"/>
      <c r="J12" s="23" t="n"/>
      <c r="K12" s="23" t="n"/>
      <c r="L12" s="23" t="n"/>
      <c r="M12" s="23" t="n"/>
      <c r="N12" s="36">
        <f>IF(E12&gt;0,(H12+I12+J12+K12)/E12,"")</f>
        <v/>
      </c>
      <c r="O12" s="37">
        <f>IF(E12&gt;0,K12/E12,"")</f>
        <v/>
      </c>
      <c r="P12" s="38">
        <f>IFERROR(VLOOKUP(D12,'Рубрики'!$B$5:$H$8,7,FALSE),"")</f>
        <v/>
      </c>
      <c r="Q12" s="34">
        <f>IF(E12="","",IF(E12&gt;=P12,"✅ так","❌ ні"))</f>
        <v/>
      </c>
      <c r="R12" s="18" t="n"/>
    </row>
    <row r="13">
      <c r="A13" s="34">
        <f>'Сценарії'!A13</f>
        <v/>
      </c>
      <c r="B13" s="35">
        <f>'Сценарії'!B13</f>
        <v/>
      </c>
      <c r="C13" s="34">
        <f>'Сценарії'!F13</f>
        <v/>
      </c>
      <c r="D13" s="34">
        <f>'Сценарії'!E13</f>
        <v/>
      </c>
      <c r="E13" s="23" t="n"/>
      <c r="F13" s="18" t="n"/>
      <c r="G13" s="18" t="n"/>
      <c r="H13" s="23" t="n"/>
      <c r="I13" s="23" t="n"/>
      <c r="J13" s="23" t="n"/>
      <c r="K13" s="23" t="n"/>
      <c r="L13" s="23" t="n"/>
      <c r="M13" s="23" t="n"/>
      <c r="N13" s="36">
        <f>IF(E13&gt;0,(H13+I13+J13+K13)/E13,"")</f>
        <v/>
      </c>
      <c r="O13" s="37">
        <f>IF(E13&gt;0,K13/E13,"")</f>
        <v/>
      </c>
      <c r="P13" s="38">
        <f>IFERROR(VLOOKUP(D13,'Рубрики'!$B$5:$H$8,7,FALSE),"")</f>
        <v/>
      </c>
      <c r="Q13" s="34">
        <f>IF(E13="","",IF(E13&gt;=P13,"✅ так","❌ ні"))</f>
        <v/>
      </c>
      <c r="R13" s="18" t="n"/>
    </row>
    <row r="14">
      <c r="A14" s="34">
        <f>'Сценарії'!A14</f>
        <v/>
      </c>
      <c r="B14" s="35">
        <f>'Сценарії'!B14</f>
        <v/>
      </c>
      <c r="C14" s="34">
        <f>'Сценарії'!F14</f>
        <v/>
      </c>
      <c r="D14" s="34">
        <f>'Сценарії'!E14</f>
        <v/>
      </c>
      <c r="E14" s="23" t="n"/>
      <c r="F14" s="18" t="n"/>
      <c r="G14" s="18" t="n"/>
      <c r="H14" s="23" t="n"/>
      <c r="I14" s="23" t="n"/>
      <c r="J14" s="23" t="n"/>
      <c r="K14" s="23" t="n"/>
      <c r="L14" s="23" t="n"/>
      <c r="M14" s="23" t="n"/>
      <c r="N14" s="36">
        <f>IF(E14&gt;0,(H14+I14+J14+K14)/E14,"")</f>
        <v/>
      </c>
      <c r="O14" s="37">
        <f>IF(E14&gt;0,K14/E14,"")</f>
        <v/>
      </c>
      <c r="P14" s="38">
        <f>IFERROR(VLOOKUP(D14,'Рубрики'!$B$5:$H$8,7,FALSE),"")</f>
        <v/>
      </c>
      <c r="Q14" s="34">
        <f>IF(E14="","",IF(E14&gt;=P14,"✅ так","❌ ні"))</f>
        <v/>
      </c>
      <c r="R14" s="18" t="n"/>
    </row>
    <row r="15">
      <c r="A15" s="34">
        <f>'Сценарії'!A15</f>
        <v/>
      </c>
      <c r="B15" s="35">
        <f>'Сценарії'!B15</f>
        <v/>
      </c>
      <c r="C15" s="34">
        <f>'Сценарії'!F15</f>
        <v/>
      </c>
      <c r="D15" s="34">
        <f>'Сценарії'!E15</f>
        <v/>
      </c>
      <c r="E15" s="23" t="n"/>
      <c r="F15" s="18" t="n"/>
      <c r="G15" s="18" t="n"/>
      <c r="H15" s="23" t="n"/>
      <c r="I15" s="23" t="n"/>
      <c r="J15" s="23" t="n"/>
      <c r="K15" s="23" t="n"/>
      <c r="L15" s="23" t="n"/>
      <c r="M15" s="23" t="n"/>
      <c r="N15" s="36">
        <f>IF(E15&gt;0,(H15+I15+J15+K15)/E15,"")</f>
        <v/>
      </c>
      <c r="O15" s="37">
        <f>IF(E15&gt;0,K15/E15,"")</f>
        <v/>
      </c>
      <c r="P15" s="38">
        <f>IFERROR(VLOOKUP(D15,'Рубрики'!$B$5:$H$8,7,FALSE),"")</f>
        <v/>
      </c>
      <c r="Q15" s="34">
        <f>IF(E15="","",IF(E15&gt;=P15,"✅ так","❌ ні"))</f>
        <v/>
      </c>
      <c r="R15" s="18" t="n"/>
    </row>
    <row r="16">
      <c r="A16" s="34">
        <f>'Сценарії'!A16</f>
        <v/>
      </c>
      <c r="B16" s="35">
        <f>'Сценарії'!B16</f>
        <v/>
      </c>
      <c r="C16" s="34">
        <f>'Сценарії'!F16</f>
        <v/>
      </c>
      <c r="D16" s="34">
        <f>'Сценарії'!E16</f>
        <v/>
      </c>
      <c r="E16" s="23" t="n"/>
      <c r="F16" s="18" t="n"/>
      <c r="G16" s="18" t="n"/>
      <c r="H16" s="23" t="n"/>
      <c r="I16" s="23" t="n"/>
      <c r="J16" s="23" t="n"/>
      <c r="K16" s="23" t="n"/>
      <c r="L16" s="23" t="n"/>
      <c r="M16" s="23" t="n"/>
      <c r="N16" s="36">
        <f>IF(E16&gt;0,(H16+I16+J16+K16)/E16,"")</f>
        <v/>
      </c>
      <c r="O16" s="37">
        <f>IF(E16&gt;0,K16/E16,"")</f>
        <v/>
      </c>
      <c r="P16" s="38">
        <f>IFERROR(VLOOKUP(D16,'Рубрики'!$B$5:$H$8,7,FALSE),"")</f>
        <v/>
      </c>
      <c r="Q16" s="34">
        <f>IF(E16="","",IF(E16&gt;=P16,"✅ так","❌ ні"))</f>
        <v/>
      </c>
      <c r="R16" s="18" t="n"/>
    </row>
    <row r="17">
      <c r="A17" s="34">
        <f>'Сценарії'!A17</f>
        <v/>
      </c>
      <c r="B17" s="35">
        <f>'Сценарії'!B17</f>
        <v/>
      </c>
      <c r="C17" s="34">
        <f>'Сценарії'!F17</f>
        <v/>
      </c>
      <c r="D17" s="34">
        <f>'Сценарії'!E17</f>
        <v/>
      </c>
      <c r="E17" s="23" t="n"/>
      <c r="F17" s="18" t="n"/>
      <c r="G17" s="18" t="n"/>
      <c r="H17" s="23" t="n"/>
      <c r="I17" s="23" t="n"/>
      <c r="J17" s="23" t="n"/>
      <c r="K17" s="23" t="n"/>
      <c r="L17" s="23" t="n"/>
      <c r="M17" s="23" t="n"/>
      <c r="N17" s="36">
        <f>IF(E17&gt;0,(H17+I17+J17+K17)/E17,"")</f>
        <v/>
      </c>
      <c r="O17" s="37">
        <f>IF(E17&gt;0,K17/E17,"")</f>
        <v/>
      </c>
      <c r="P17" s="38">
        <f>IFERROR(VLOOKUP(D17,'Рубрики'!$B$5:$H$8,7,FALSE),"")</f>
        <v/>
      </c>
      <c r="Q17" s="34">
        <f>IF(E17="","",IF(E17&gt;=P17,"✅ так","❌ ні"))</f>
        <v/>
      </c>
      <c r="R17" s="18" t="n"/>
    </row>
    <row r="18">
      <c r="A18" s="34">
        <f>'Сценарії'!A18</f>
        <v/>
      </c>
      <c r="B18" s="35">
        <f>'Сценарії'!B18</f>
        <v/>
      </c>
      <c r="C18" s="34">
        <f>'Сценарії'!F18</f>
        <v/>
      </c>
      <c r="D18" s="34">
        <f>'Сценарії'!E18</f>
        <v/>
      </c>
      <c r="E18" s="23" t="n"/>
      <c r="F18" s="18" t="n"/>
      <c r="G18" s="18" t="n"/>
      <c r="H18" s="23" t="n"/>
      <c r="I18" s="23" t="n"/>
      <c r="J18" s="23" t="n"/>
      <c r="K18" s="23" t="n"/>
      <c r="L18" s="23" t="n"/>
      <c r="M18" s="23" t="n"/>
      <c r="N18" s="36">
        <f>IF(E18&gt;0,(H18+I18+J18+K18)/E18,"")</f>
        <v/>
      </c>
      <c r="O18" s="37">
        <f>IF(E18&gt;0,K18/E18,"")</f>
        <v/>
      </c>
      <c r="P18" s="38">
        <f>IFERROR(VLOOKUP(D18,'Рубрики'!$B$5:$H$8,7,FALSE),"")</f>
        <v/>
      </c>
      <c r="Q18" s="34">
        <f>IF(E18="","",IF(E18&gt;=P18,"✅ так","❌ ні"))</f>
        <v/>
      </c>
      <c r="R18" s="18" t="n"/>
    </row>
    <row r="19">
      <c r="A19" s="34">
        <f>'Сценарії'!A19</f>
        <v/>
      </c>
      <c r="B19" s="35">
        <f>'Сценарії'!B19</f>
        <v/>
      </c>
      <c r="C19" s="34">
        <f>'Сценарії'!F19</f>
        <v/>
      </c>
      <c r="D19" s="34">
        <f>'Сценарії'!E19</f>
        <v/>
      </c>
      <c r="E19" s="23" t="n"/>
      <c r="F19" s="18" t="n"/>
      <c r="G19" s="18" t="n"/>
      <c r="H19" s="23" t="n"/>
      <c r="I19" s="23" t="n"/>
      <c r="J19" s="23" t="n"/>
      <c r="K19" s="23" t="n"/>
      <c r="L19" s="23" t="n"/>
      <c r="M19" s="23" t="n"/>
      <c r="N19" s="36">
        <f>IF(E19&gt;0,(H19+I19+J19+K19)/E19,"")</f>
        <v/>
      </c>
      <c r="O19" s="37">
        <f>IF(E19&gt;0,K19/E19,"")</f>
        <v/>
      </c>
      <c r="P19" s="38">
        <f>IFERROR(VLOOKUP(D19,'Рубрики'!$B$5:$H$8,7,FALSE),"")</f>
        <v/>
      </c>
      <c r="Q19" s="34">
        <f>IF(E19="","",IF(E19&gt;=P19,"✅ так","❌ ні"))</f>
        <v/>
      </c>
      <c r="R19" s="18" t="n"/>
    </row>
    <row r="20">
      <c r="A20" s="34">
        <f>'Сценарії'!A20</f>
        <v/>
      </c>
      <c r="B20" s="35">
        <f>'Сценарії'!B20</f>
        <v/>
      </c>
      <c r="C20" s="34">
        <f>'Сценарії'!F20</f>
        <v/>
      </c>
      <c r="D20" s="34">
        <f>'Сценарії'!E20</f>
        <v/>
      </c>
      <c r="E20" s="23" t="n"/>
      <c r="F20" s="18" t="n"/>
      <c r="G20" s="18" t="n"/>
      <c r="H20" s="23" t="n"/>
      <c r="I20" s="23" t="n"/>
      <c r="J20" s="23" t="n"/>
      <c r="K20" s="23" t="n"/>
      <c r="L20" s="23" t="n"/>
      <c r="M20" s="23" t="n"/>
      <c r="N20" s="36">
        <f>IF(E20&gt;0,(H20+I20+J20+K20)/E20,"")</f>
        <v/>
      </c>
      <c r="O20" s="37">
        <f>IF(E20&gt;0,K20/E20,"")</f>
        <v/>
      </c>
      <c r="P20" s="38">
        <f>IFERROR(VLOOKUP(D20,'Рубрики'!$B$5:$H$8,7,FALSE),"")</f>
        <v/>
      </c>
      <c r="Q20" s="34">
        <f>IF(E20="","",IF(E20&gt;=P20,"✅ так","❌ ні"))</f>
        <v/>
      </c>
      <c r="R20" s="18" t="n"/>
    </row>
    <row r="22">
      <c r="C22" s="27" t="inlineStr">
        <is>
          <t>Підсумок по рубриках</t>
        </is>
      </c>
    </row>
    <row r="23">
      <c r="C23" s="39" t="inlineStr">
        <is>
          <t>Рубрика</t>
        </is>
      </c>
      <c r="D23" s="39" t="inlineStr">
        <is>
          <t>Опубліковано</t>
        </is>
      </c>
      <c r="E23" s="39" t="inlineStr">
        <is>
          <t>Сер. перегляди</t>
        </is>
      </c>
      <c r="F23" s="39" t="inlineStr">
        <is>
          <t>Сер. ER</t>
        </is>
      </c>
      <c r="G23" s="39" t="inlineStr">
        <is>
          <t>Сер. поширення</t>
        </is>
      </c>
    </row>
    <row r="24">
      <c r="C24" s="40">
        <f>'Рубрики'!B5</f>
        <v/>
      </c>
      <c r="D24" s="40">
        <f>COUNTIFS($D$5:$D$20,C24,$E$5:$E$20,"&gt;0")</f>
        <v/>
      </c>
      <c r="E24" s="41">
        <f>IFERROR(AVERAGEIFS($E$5:$E$20,$D$5:$D$20,C24,$E$5:$E$20,"&gt;0"),"")</f>
        <v/>
      </c>
      <c r="F24" s="42">
        <f>IFERROR(AVERAGEIFS($N$5:$N$20,$D$5:$D$20,C24,$E$5:$E$20,"&gt;0"),"")</f>
        <v/>
      </c>
      <c r="G24" s="43">
        <f>IFERROR(AVERAGEIFS($O$5:$O$20,$D$5:$D$20,C24,$E$5:$E$20,"&gt;0"),"")</f>
        <v/>
      </c>
    </row>
    <row r="25">
      <c r="C25" s="40">
        <f>'Рубрики'!B6</f>
        <v/>
      </c>
      <c r="D25" s="40">
        <f>COUNTIFS($D$5:$D$20,C25,$E$5:$E$20,"&gt;0")</f>
        <v/>
      </c>
      <c r="E25" s="41">
        <f>IFERROR(AVERAGEIFS($E$5:$E$20,$D$5:$D$20,C25,$E$5:$E$20,"&gt;0"),"")</f>
        <v/>
      </c>
      <c r="F25" s="42">
        <f>IFERROR(AVERAGEIFS($N$5:$N$20,$D$5:$D$20,C25,$E$5:$E$20,"&gt;0"),"")</f>
        <v/>
      </c>
      <c r="G25" s="43">
        <f>IFERROR(AVERAGEIFS($O$5:$O$20,$D$5:$D$20,C25,$E$5:$E$20,"&gt;0"),"")</f>
        <v/>
      </c>
    </row>
    <row r="26">
      <c r="C26" s="40">
        <f>'Рубрики'!B7</f>
        <v/>
      </c>
      <c r="D26" s="40">
        <f>COUNTIFS($D$5:$D$20,C26,$E$5:$E$20,"&gt;0")</f>
        <v/>
      </c>
      <c r="E26" s="41">
        <f>IFERROR(AVERAGEIFS($E$5:$E$20,$D$5:$D$20,C26,$E$5:$E$20,"&gt;0"),"")</f>
        <v/>
      </c>
      <c r="F26" s="42">
        <f>IFERROR(AVERAGEIFS($N$5:$N$20,$D$5:$D$20,C26,$E$5:$E$20,"&gt;0"),"")</f>
        <v/>
      </c>
      <c r="G26" s="43">
        <f>IFERROR(AVERAGEIFS($O$5:$O$20,$D$5:$D$20,C26,$E$5:$E$20,"&gt;0"),"")</f>
        <v/>
      </c>
    </row>
    <row r="27">
      <c r="C27" s="40">
        <f>'Рубрики'!B8</f>
        <v/>
      </c>
      <c r="D27" s="40">
        <f>COUNTIFS($D$5:$D$20,C27,$E$5:$E$20,"&gt;0")</f>
        <v/>
      </c>
      <c r="E27" s="41">
        <f>IFERROR(AVERAGEIFS($E$5:$E$20,$D$5:$D$20,C27,$E$5:$E$20,"&gt;0"),"")</f>
        <v/>
      </c>
      <c r="F27" s="42">
        <f>IFERROR(AVERAGEIFS($N$5:$N$20,$D$5:$D$20,C27,$E$5:$E$20,"&gt;0"),"")</f>
        <v/>
      </c>
      <c r="G27" s="43">
        <f>IFERROR(AVERAGEIFS($O$5:$O$20,$D$5:$D$20,C27,$E$5:$E$20,"&gt;0"),"")</f>
        <v/>
      </c>
    </row>
  </sheetData>
  <mergeCells count="2">
    <mergeCell ref="A2:R2"/>
    <mergeCell ref="A1:R1"/>
  </mergeCells>
  <conditionalFormatting sqref="D5:D20">
    <cfRule type="expression" priority="1" dxfId="0">
      <formula>ISNUMBER(SEARCH("Камінь у руках",$D5))</formula>
    </cfRule>
    <cfRule type="expression" priority="2" dxfId="1">
      <formula>ISNUMBER(SEARCH("Як це зроблено",$D5))</formula>
    </cfRule>
    <cfRule type="expression" priority="3" dxfId="2">
      <formula>ISNUMBER(SEARCH("Річ у ділі",$D5))</formula>
    </cfRule>
    <cfRule type="expression" priority="4" dxfId="3">
      <formula>ISNUMBER(SEARCH("Вау-масштаб",$D5))</formula>
    </cfRule>
  </conditionalFormatting>
  <conditionalFormatting sqref="C24:C27">
    <cfRule type="expression" priority="5" dxfId="0">
      <formula>ISNUMBER(SEARCH("Камінь у руках",$C24))</formula>
    </cfRule>
    <cfRule type="expression" priority="6" dxfId="1">
      <formula>ISNUMBER(SEARCH("Як це зроблено",$C24))</formula>
    </cfRule>
    <cfRule type="expression" priority="7" dxfId="2">
      <formula>ISNUMBER(SEARCH("Річ у ділі",$C24))</formula>
    </cfRule>
    <cfRule type="expression" priority="8" dxfId="3">
      <formula>ISNUMBER(SEARCH("Вау-масштаб",$C24))</formula>
    </cfRule>
  </conditionalFormatting>
  <printOptions horizontalCentered="1"/>
  <pageMargins left="0.75" right="0.75" top="1" bottom="1" header="0.5" footer="0.5"/>
  <pageSetup orientation="landscape" paperSize="9" fitToHeight="0" fitToWidth="1"/>
</worksheet>
</file>